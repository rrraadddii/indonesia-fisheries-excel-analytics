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621157-FBA4-4A14-9FF0-57F5F280D668}" xr6:coauthVersionLast="47" xr6:coauthVersionMax="47" xr10:uidLastSave="{00000000-0000-0000-0000-000000000000}"/>
  <bookViews>
    <workbookView xWindow="-120" yWindow="-120" windowWidth="29040" windowHeight="15720" activeTab="6" xr2:uid="{72C7BAF0-5E30-4EF3-9B04-943EEF12936B}"/>
  </bookViews>
  <sheets>
    <sheet name="ABOUT" sheetId="14" r:id="rId1"/>
    <sheet name="ORIGINAL DATA" sheetId="1" r:id="rId2"/>
    <sheet name="Price (WEB SCRAPPING)" sheetId="8" r:id="rId3"/>
    <sheet name="Data" sheetId="5" r:id="rId4"/>
    <sheet name="Analysis RAW" sheetId="6" state="hidden" r:id="rId5"/>
    <sheet name="Analysis" sheetId="7" r:id="rId6"/>
    <sheet name="Dashboard" sheetId="10" r:id="rId7"/>
    <sheet name="Top 5 Species by Catch" sheetId="11" r:id="rId8"/>
    <sheet name="Top 5 by Revenue" sheetId="12" r:id="rId9"/>
    <sheet name="Declining Species" sheetId="13" r:id="rId10"/>
  </sheets>
  <definedNames>
    <definedName name="_xlnm._FilterDatabase" localSheetId="5" hidden="1">Analysis!$P$1:$P$247</definedName>
    <definedName name="_xlnm._FilterDatabase" localSheetId="4" hidden="1">'Analysis RAW'!$A$1:$B$245</definedName>
    <definedName name="_xlnm._FilterDatabase" localSheetId="3" hidden="1">Data!$A$1:$O$415</definedName>
    <definedName name="Species">'Analysis RAW'!$A:$A</definedName>
    <definedName name="Total_Catch_tonnes">'Analysis RAW'!$B:$B</definedName>
  </definedNames>
  <calcPr calcId="191029"/>
  <pivotCaches>
    <pivotCache cacheId="0" r:id="rId11"/>
    <pivotCache cacheId="1" r:id="rId12"/>
    <pivotCache cacheId="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7" l="1"/>
  <c r="F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" i="7"/>
  <c r="C3" i="7"/>
  <c r="C4" i="7"/>
  <c r="C5" i="7"/>
  <c r="C6" i="7"/>
  <c r="F6" i="7" s="1"/>
  <c r="C7" i="7"/>
  <c r="F7" i="7" s="1"/>
  <c r="C8" i="7"/>
  <c r="F8" i="7" s="1"/>
  <c r="C9" i="7"/>
  <c r="F9" i="7" s="1"/>
  <c r="C10" i="7"/>
  <c r="F10" i="7" s="1"/>
  <c r="C11" i="7"/>
  <c r="C12" i="7"/>
  <c r="C13" i="7"/>
  <c r="C14" i="7"/>
  <c r="F14" i="7" s="1"/>
  <c r="C15" i="7"/>
  <c r="F15" i="7" s="1"/>
  <c r="C16" i="7"/>
  <c r="F16" i="7" s="1"/>
  <c r="C17" i="7"/>
  <c r="F17" i="7" s="1"/>
  <c r="C18" i="7"/>
  <c r="F18" i="7" s="1"/>
  <c r="C19" i="7"/>
  <c r="C20" i="7"/>
  <c r="C21" i="7"/>
  <c r="C2" i="7"/>
  <c r="D3" i="7"/>
  <c r="G3" i="7" s="1"/>
  <c r="D4" i="7"/>
  <c r="G4" i="7" s="1"/>
  <c r="D5" i="7"/>
  <c r="G5" i="7" s="1"/>
  <c r="D6" i="7"/>
  <c r="G6" i="7" s="1"/>
  <c r="D7" i="7"/>
  <c r="G7" i="7" s="1"/>
  <c r="D8" i="7"/>
  <c r="G8" i="7" s="1"/>
  <c r="D9" i="7"/>
  <c r="G9" i="7" s="1"/>
  <c r="D10" i="7"/>
  <c r="G10" i="7" s="1"/>
  <c r="D11" i="7"/>
  <c r="G11" i="7" s="1"/>
  <c r="D12" i="7"/>
  <c r="G12" i="7" s="1"/>
  <c r="D13" i="7"/>
  <c r="G13" i="7" s="1"/>
  <c r="D14" i="7"/>
  <c r="G14" i="7" s="1"/>
  <c r="D15" i="7"/>
  <c r="G15" i="7" s="1"/>
  <c r="D16" i="7"/>
  <c r="G16" i="7" s="1"/>
  <c r="D17" i="7"/>
  <c r="G17" i="7" s="1"/>
  <c r="D18" i="7"/>
  <c r="D19" i="7"/>
  <c r="G19" i="7" s="1"/>
  <c r="D20" i="7"/>
  <c r="G20" i="7" s="1"/>
  <c r="D21" i="7"/>
  <c r="G21" i="7" s="1"/>
  <c r="D2" i="7"/>
  <c r="G2" i="7" s="1"/>
  <c r="C21" i="8"/>
  <c r="D21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" i="8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F21" i="7" l="1"/>
  <c r="F13" i="7"/>
  <c r="F5" i="7"/>
  <c r="F20" i="7"/>
  <c r="F12" i="7"/>
  <c r="F4" i="7"/>
  <c r="F19" i="7"/>
  <c r="F11" i="7"/>
  <c r="G18" i="7"/>
  <c r="J16" i="7"/>
  <c r="K16" i="7"/>
  <c r="J13" i="7"/>
  <c r="K13" i="7"/>
  <c r="L13" i="7"/>
  <c r="M13" i="7"/>
  <c r="N13" i="7"/>
  <c r="J10" i="7"/>
  <c r="K10" i="7"/>
  <c r="L10" i="7"/>
  <c r="M10" i="7"/>
  <c r="N10" i="7"/>
  <c r="J2" i="7"/>
  <c r="K2" i="7"/>
  <c r="L2" i="7"/>
  <c r="M2" i="7"/>
  <c r="N2" i="7"/>
  <c r="J15" i="7"/>
  <c r="K15" i="7"/>
  <c r="L15" i="7"/>
  <c r="M15" i="7"/>
  <c r="N15" i="7"/>
  <c r="J18" i="7"/>
  <c r="K18" i="7"/>
  <c r="L18" i="7"/>
  <c r="M18" i="7"/>
  <c r="N18" i="7"/>
  <c r="J17" i="7"/>
  <c r="K17" i="7"/>
  <c r="L17" i="7"/>
  <c r="M17" i="7"/>
  <c r="N17" i="7"/>
  <c r="J11" i="7"/>
  <c r="K11" i="7"/>
  <c r="L11" i="7"/>
  <c r="M11" i="7"/>
  <c r="N11" i="7"/>
  <c r="J7" i="7"/>
  <c r="K7" i="7"/>
  <c r="L7" i="7"/>
  <c r="M7" i="7"/>
  <c r="N7" i="7"/>
  <c r="J3" i="7"/>
  <c r="K3" i="7"/>
  <c r="L3" i="7"/>
  <c r="M3" i="7"/>
  <c r="N3" i="7"/>
  <c r="J14" i="7"/>
  <c r="K14" i="7"/>
  <c r="L14" i="7"/>
  <c r="M14" i="7"/>
  <c r="N14" i="7"/>
  <c r="J21" i="7"/>
  <c r="K21" i="7"/>
  <c r="L21" i="7"/>
  <c r="M21" i="7"/>
  <c r="N21" i="7"/>
  <c r="J20" i="7"/>
  <c r="K20" i="7"/>
  <c r="L20" i="7"/>
  <c r="M20" i="7"/>
  <c r="N20" i="7"/>
  <c r="J12" i="7"/>
  <c r="K12" i="7"/>
  <c r="L12" i="7"/>
  <c r="M12" i="7"/>
  <c r="N12" i="7"/>
  <c r="J19" i="7"/>
  <c r="K19" i="7"/>
  <c r="L19" i="7"/>
  <c r="M19" i="7"/>
  <c r="N19" i="7"/>
  <c r="J8" i="7"/>
  <c r="K8" i="7"/>
  <c r="L8" i="7"/>
  <c r="M8" i="7"/>
  <c r="N8" i="7"/>
  <c r="J6" i="7"/>
  <c r="K6" i="7"/>
  <c r="L6" i="7"/>
  <c r="M6" i="7"/>
  <c r="N6" i="7"/>
  <c r="J5" i="7"/>
  <c r="K5" i="7"/>
  <c r="L5" i="7"/>
  <c r="M5" i="7"/>
  <c r="N5" i="7"/>
  <c r="J9" i="7"/>
  <c r="K9" i="7"/>
  <c r="L9" i="7"/>
  <c r="M9" i="7"/>
  <c r="N9" i="7"/>
  <c r="J4" i="7"/>
  <c r="K4" i="7"/>
  <c r="L4" i="7"/>
  <c r="M4" i="7"/>
  <c r="N4" i="7"/>
  <c r="N16" i="7"/>
  <c r="M16" i="7"/>
  <c r="L16" i="7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A2" i="6" a="1"/>
  <c r="A2" i="6" s="1"/>
  <c r="B2" i="6" s="1"/>
  <c r="B241" i="6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2" i="5"/>
  <c r="O16" i="7" l="1"/>
  <c r="O15" i="7"/>
  <c r="O18" i="7"/>
  <c r="O4" i="7"/>
  <c r="O21" i="7"/>
  <c r="O2" i="7"/>
  <c r="O13" i="7"/>
  <c r="O8" i="7"/>
  <c r="O9" i="7"/>
  <c r="O19" i="7"/>
  <c r="O14" i="7"/>
  <c r="O10" i="7"/>
  <c r="O12" i="7"/>
  <c r="O6" i="7"/>
  <c r="O7" i="7"/>
  <c r="O17" i="7"/>
  <c r="O5" i="7"/>
  <c r="O3" i="7"/>
  <c r="O20" i="7"/>
  <c r="O1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<sst xmlns="http://schemas.openxmlformats.org/spreadsheetml/2006/main" count="5415" uniqueCount="359">
  <si>
    <t>Country (Name)</t>
  </si>
  <si>
    <t>ASFIS species (Name)</t>
  </si>
  <si>
    <t>FAO major fishing area (Name)</t>
  </si>
  <si>
    <t>Unit (Name)</t>
  </si>
  <si>
    <t>Unit</t>
  </si>
  <si>
    <t>[2018]</t>
  </si>
  <si>
    <t>S</t>
  </si>
  <si>
    <t>[2019]</t>
  </si>
  <si>
    <t>[2020]</t>
  </si>
  <si>
    <t>[2021]</t>
  </si>
  <si>
    <t>[2022]</t>
  </si>
  <si>
    <t>Indonesia</t>
  </si>
  <si>
    <t>[Barbonymus balleroides]</t>
  </si>
  <si>
    <t>Asia - Inland waters</t>
  </si>
  <si>
    <t>Tonnes - live weight</t>
  </si>
  <si>
    <t>TLW, Number</t>
  </si>
  <si>
    <t>[Thynnichthys vaillanti]</t>
  </si>
  <si>
    <t>[Puntioplites waandersi]</t>
  </si>
  <si>
    <t>[Mystus spp]</t>
  </si>
  <si>
    <t>...</t>
  </si>
  <si>
    <t>[Cyclocheilichthys armatus]</t>
  </si>
  <si>
    <t>[Pangasius djambal]</t>
  </si>
  <si>
    <t>[Mystus nigriceps]</t>
  </si>
  <si>
    <t>[Mystacoleucus padangensis]</t>
  </si>
  <si>
    <t>[Gymnothorax spp]</t>
  </si>
  <si>
    <t>Indian Ocean, Eastern</t>
  </si>
  <si>
    <t>[Lethrinus spp]</t>
  </si>
  <si>
    <t>[Muraenesocidae]</t>
  </si>
  <si>
    <t>Pacific, Western Central</t>
  </si>
  <si>
    <t>Akiami paste shrimp</t>
  </si>
  <si>
    <t>Albacore</t>
  </si>
  <si>
    <t>Anchovies, etc. nei</t>
  </si>
  <si>
    <t>Aquatic invertebrates nei</t>
  </si>
  <si>
    <t>I</t>
  </si>
  <si>
    <t>Asian bonytongue</t>
  </si>
  <si>
    <t>Asian redtail catfish</t>
  </si>
  <si>
    <t>Asian swamp eel</t>
  </si>
  <si>
    <t>Bald glassy</t>
  </si>
  <si>
    <t>Bali sardinella</t>
  </si>
  <si>
    <t>Banana prawn</t>
  </si>
  <si>
    <t>Banded archerfish</t>
  </si>
  <si>
    <t>Barracudas nei</t>
  </si>
  <si>
    <t>Barracudinas, etc. nei</t>
  </si>
  <si>
    <t>Barramundi(=Giant seaperch)</t>
  </si>
  <si>
    <t>Beardless barb</t>
  </si>
  <si>
    <t>Bichique</t>
  </si>
  <si>
    <t>Bigeye scad</t>
  </si>
  <si>
    <t>Bigeye tuna</t>
  </si>
  <si>
    <t>Bigeyes nei</t>
  </si>
  <si>
    <t>Black marlin</t>
  </si>
  <si>
    <t>Black pomfret</t>
  </si>
  <si>
    <t>Blood cockle</t>
  </si>
  <si>
    <t>Blue mackerel</t>
  </si>
  <si>
    <t>Blue marlin</t>
  </si>
  <si>
    <t>Blue shark</t>
  </si>
  <si>
    <t>Blue swimming crab</t>
  </si>
  <si>
    <t>Bombay-duck</t>
  </si>
  <si>
    <t>Brown seaweeds</t>
  </si>
  <si>
    <t>Bullet tuna</t>
  </si>
  <si>
    <t>Butter catfish</t>
  </si>
  <si>
    <t>Butterfishes, pomfrets nei</t>
  </si>
  <si>
    <t>Cape fathead</t>
  </si>
  <si>
    <t>Carangids nei</t>
  </si>
  <si>
    <t>Caulerpa seaweeds</t>
  </si>
  <si>
    <t>Chacunda gizzard shad</t>
  </si>
  <si>
    <t>Characins nei</t>
  </si>
  <si>
    <t>Chinese softshell turtle</t>
  </si>
  <si>
    <t>Chocolate hind</t>
  </si>
  <si>
    <t>Cichlids nei</t>
  </si>
  <si>
    <t>Clams, etc. nei</t>
  </si>
  <si>
    <t>Climbing perch</t>
  </si>
  <si>
    <t>Clown loach</t>
  </si>
  <si>
    <t>Clupeoids nei</t>
  </si>
  <si>
    <t>Cobia</t>
  </si>
  <si>
    <t>Commercial top</t>
  </si>
  <si>
    <t>Common carp</t>
  </si>
  <si>
    <t>Common dolphinfish</t>
  </si>
  <si>
    <t>Common squids nei</t>
  </si>
  <si>
    <t>Croakers, drums nei</t>
  </si>
  <si>
    <t>Cupped oysters nei</t>
  </si>
  <si>
    <t>Cuttlefish, bobtail squids nei</t>
  </si>
  <si>
    <t>Cyprinids nei</t>
  </si>
  <si>
    <t>Dogfish sharks nei</t>
  </si>
  <si>
    <t>Dogtooth tuna</t>
  </si>
  <si>
    <t>Eagle rays nei</t>
  </si>
  <si>
    <t>Eels, morays, congers nei</t>
  </si>
  <si>
    <t>Eeltail catfishes</t>
  </si>
  <si>
    <t>Emperors(=Scavengers) nei</t>
  </si>
  <si>
    <t>Erect sea moss</t>
  </si>
  <si>
    <t>Estuarine crocodile</t>
  </si>
  <si>
    <t>Number</t>
  </si>
  <si>
    <t>False trevally</t>
  </si>
  <si>
    <t>Fire eel</t>
  </si>
  <si>
    <t>Flatfishes nei</t>
  </si>
  <si>
    <t>Flyingfishes nei</t>
  </si>
  <si>
    <t>Fourfinger threadfin</t>
  </si>
  <si>
    <t>Freshwater crustaceans nei</t>
  </si>
  <si>
    <t>Freshwater fishes nei</t>
  </si>
  <si>
    <t>Freshwater gobies nei</t>
  </si>
  <si>
    <t>Freshwater molluscs nei</t>
  </si>
  <si>
    <t>Freshwater prawns, shrimps nei</t>
  </si>
  <si>
    <t>Freshwater siluroids nei</t>
  </si>
  <si>
    <t>Frigate and bullet tunas</t>
  </si>
  <si>
    <t>Frigate tuna</t>
  </si>
  <si>
    <t>Frogs</t>
  </si>
  <si>
    <t>Fusiliers Caesio nei</t>
  </si>
  <si>
    <t>Fusiliers nei</t>
  </si>
  <si>
    <t>Gastropods nei</t>
  </si>
  <si>
    <t>Giant featherback</t>
  </si>
  <si>
    <t>Giant gourami</t>
  </si>
  <si>
    <t>Giant river prawn</t>
  </si>
  <si>
    <t>Giant tiger prawn</t>
  </si>
  <si>
    <t>Glass catfishes</t>
  </si>
  <si>
    <t>Goatfishes</t>
  </si>
  <si>
    <t>Goldstripe sardinella</t>
  </si>
  <si>
    <t>Grass carp(=White amur)</t>
  </si>
  <si>
    <t>Greasy grouper</t>
  </si>
  <si>
    <t>Great barracuda</t>
  </si>
  <si>
    <t>Greater lizardfish</t>
  </si>
  <si>
    <t>Green mussel</t>
  </si>
  <si>
    <t>Grey large-eye bream</t>
  </si>
  <si>
    <t>Groupers, seabasses nei</t>
  </si>
  <si>
    <t>Grunts, sweetlips nei</t>
  </si>
  <si>
    <t>Gudgeons, sleepers nei</t>
  </si>
  <si>
    <t>Guitarfishes, etc. nei</t>
  </si>
  <si>
    <t>Hairtails, scabbardfishes nei</t>
  </si>
  <si>
    <t>Halfbeaks nei</t>
  </si>
  <si>
    <t>Hamilton's thryssa</t>
  </si>
  <si>
    <t>Hammerhead sharks, etc. nei</t>
  </si>
  <si>
    <t>Hampala barb</t>
  </si>
  <si>
    <t>Hard clams nei</t>
  </si>
  <si>
    <t>Hard corals, madrepores nei</t>
  </si>
  <si>
    <t>Hawaiian ladyfish</t>
  </si>
  <si>
    <t>Hawkfishes nei</t>
  </si>
  <si>
    <t>Honeycomb grouper</t>
  </si>
  <si>
    <t>Hoven's carp</t>
  </si>
  <si>
    <t>Humpback grouper</t>
  </si>
  <si>
    <t>Humphead wrasse</t>
  </si>
  <si>
    <t>Indian halibut</t>
  </si>
  <si>
    <t>Indian mackerel</t>
  </si>
  <si>
    <t>Indian mackerels nei</t>
  </si>
  <si>
    <t>Indo-Pacific king mackerel</t>
  </si>
  <si>
    <t>Indo-Pacific sailfish</t>
  </si>
  <si>
    <t>Indo-Pacific swamp crab</t>
  </si>
  <si>
    <t>Indonesian snakehead</t>
  </si>
  <si>
    <t>Jacks, crevalles nei</t>
  </si>
  <si>
    <t>Jellyfishes nei</t>
  </si>
  <si>
    <t>Jobfishes nei</t>
  </si>
  <si>
    <t>Kawakawa</t>
  </si>
  <si>
    <t>Kissing gourami</t>
  </si>
  <si>
    <t>Knifefishes</t>
  </si>
  <si>
    <t>Lake prawn</t>
  </si>
  <si>
    <t>Leopard coralgrouper</t>
  </si>
  <si>
    <t>Lizardfishes nei</t>
  </si>
  <si>
    <t>Long pectoral-fin minnow</t>
  </si>
  <si>
    <t>Longfinned bullseye</t>
  </si>
  <si>
    <t>Longtail tuna</t>
  </si>
  <si>
    <t>Mackerel sharks,porbeagles nei</t>
  </si>
  <si>
    <t>Mako sharks</t>
  </si>
  <si>
    <t>Malayan leaffish</t>
  </si>
  <si>
    <t>Mantas, devil rays nei</t>
  </si>
  <si>
    <t>Marine crabs nei</t>
  </si>
  <si>
    <t>Marine crustaceans nei</t>
  </si>
  <si>
    <t>Marine fishes nei</t>
  </si>
  <si>
    <t>Marine molluscs nei</t>
  </si>
  <si>
    <t>Marine turtles nei</t>
  </si>
  <si>
    <t>Marlins,sailfishes,etc. nei</t>
  </si>
  <si>
    <t>Metapenaeus shrimps nei</t>
  </si>
  <si>
    <t>Milkfish</t>
  </si>
  <si>
    <t>Mojarras, etc. nei</t>
  </si>
  <si>
    <t>Moonfish</t>
  </si>
  <si>
    <t>Mozambique tilapia</t>
  </si>
  <si>
    <t>Mullets nei</t>
  </si>
  <si>
    <t>Narrow-barred Spanish mackerel</t>
  </si>
  <si>
    <t>Natantian decapods nei</t>
  </si>
  <si>
    <t>Needlefishes nei</t>
  </si>
  <si>
    <t>Needlefishes, etc. nei</t>
  </si>
  <si>
    <t>New Guinea crocodile</t>
  </si>
  <si>
    <t>Nile tilapia</t>
  </si>
  <si>
    <t>Nilem carp</t>
  </si>
  <si>
    <t>Octopuses, etc. nei</t>
  </si>
  <si>
    <t>Painted sweetlips</t>
  </si>
  <si>
    <t>Pangas catfishes nei</t>
  </si>
  <si>
    <t>Parrotfishes nei</t>
  </si>
  <si>
    <t>Pearl oyster shells nei</t>
  </si>
  <si>
    <t>Penaeid shrimps nei</t>
  </si>
  <si>
    <t>Pickhandle barracuda</t>
  </si>
  <si>
    <t>Pomfrets, ocean breams nei</t>
  </si>
  <si>
    <t>Ponyfishes(=Slipmouths) nei</t>
  </si>
  <si>
    <t>Porgies, seabreams nei</t>
  </si>
  <si>
    <t>Queenfishes</t>
  </si>
  <si>
    <t>Rainbow runner</t>
  </si>
  <si>
    <t>Rainbow sardine</t>
  </si>
  <si>
    <t>Rays, stingrays, mantas nei</t>
  </si>
  <si>
    <t>Red bigeye</t>
  </si>
  <si>
    <t>Red claw crayfish</t>
  </si>
  <si>
    <t>Red seaweeds</t>
  </si>
  <si>
    <t>Requiem sharks nei</t>
  </si>
  <si>
    <t>Righteye flounders nei</t>
  </si>
  <si>
    <t>River and lake turtles nei</t>
  </si>
  <si>
    <t>River eels nei</t>
  </si>
  <si>
    <t>River prawns nei</t>
  </si>
  <si>
    <t>Roudi escolar</t>
  </si>
  <si>
    <t>Salps</t>
  </si>
  <si>
    <t>Sardinellas nei</t>
  </si>
  <si>
    <t>Sawfishes</t>
  </si>
  <si>
    <t>Scads nei</t>
  </si>
  <si>
    <t>Scallops nei</t>
  </si>
  <si>
    <t>Sea catfishes nei</t>
  </si>
  <si>
    <t>Sea cucumbers nei</t>
  </si>
  <si>
    <t>Semah mahseer</t>
  </si>
  <si>
    <t>Sergestid shrimps nei</t>
  </si>
  <si>
    <t>Sharks, rays, skates, etc. nei</t>
  </si>
  <si>
    <t>Short mackerel</t>
  </si>
  <si>
    <t>Shortbill spearfish</t>
  </si>
  <si>
    <t>Sicklefishes nei</t>
  </si>
  <si>
    <t>Signal barb</t>
  </si>
  <si>
    <t>Silky shark</t>
  </si>
  <si>
    <t>Silver barb</t>
  </si>
  <si>
    <t>Silver pomfret</t>
  </si>
  <si>
    <t>Silver rasbora</t>
  </si>
  <si>
    <t>Silver sillago</t>
  </si>
  <si>
    <t>Silversides(=Sand smelts) nei</t>
  </si>
  <si>
    <t>Skipjack tuna</t>
  </si>
  <si>
    <t>Slipper lobsters nei</t>
  </si>
  <si>
    <t>Smallscale archerfish</t>
  </si>
  <si>
    <t>Snake mackerels, escolars nei</t>
  </si>
  <si>
    <t>Snakeskin gourami</t>
  </si>
  <si>
    <t>Snappers nei</t>
  </si>
  <si>
    <t>Snappers, jobfishes nei</t>
  </si>
  <si>
    <t>Southern bluefin tuna</t>
  </si>
  <si>
    <t>Sperm whale</t>
  </si>
  <si>
    <t>Marine areas outside the Antarctic</t>
  </si>
  <si>
    <t>Spinefeet(=Rabbitfishes) nei</t>
  </si>
  <si>
    <t>Spotted barb</t>
  </si>
  <si>
    <t>Spotted sardinella</t>
  </si>
  <si>
    <t>Spotted scat</t>
  </si>
  <si>
    <t>Squillids nei</t>
  </si>
  <si>
    <t>Stingrays, butterfly rays nei</t>
  </si>
  <si>
    <t>Stolephorus anchovies nei</t>
  </si>
  <si>
    <t>Streaked seerfish</t>
  </si>
  <si>
    <t>Striped bonito</t>
  </si>
  <si>
    <t>Striped marlin</t>
  </si>
  <si>
    <t>Striped snakehead</t>
  </si>
  <si>
    <t>Suckermouth catfish</t>
  </si>
  <si>
    <t>Surgeonfishes nei</t>
  </si>
  <si>
    <t>Sweetlips, rubberlips nei</t>
  </si>
  <si>
    <t>Swordfish</t>
  </si>
  <si>
    <t>Terapon perches nei</t>
  </si>
  <si>
    <t>Threadfin and dwarf breams nei</t>
  </si>
  <si>
    <t>Threadfin breams nei</t>
  </si>
  <si>
    <t>Threadfins, tasselfishes nei</t>
  </si>
  <si>
    <t>Three spot gourami</t>
  </si>
  <si>
    <t>Thresher sharks nei</t>
  </si>
  <si>
    <t>Tigerperches nei</t>
  </si>
  <si>
    <t>Tinfoil barb</t>
  </si>
  <si>
    <t>Toli shad</t>
  </si>
  <si>
    <t>Tonguefishes</t>
  </si>
  <si>
    <t>Torpedo scad</t>
  </si>
  <si>
    <t>Torpedo-shaped catfishes nei</t>
  </si>
  <si>
    <t>Triggerfishes, durgons nei</t>
  </si>
  <si>
    <t>Tripletail</t>
  </si>
  <si>
    <t>Tropical spiny lobsters nei</t>
  </si>
  <si>
    <t>Tuna-like fishes nei</t>
  </si>
  <si>
    <t>Wahoo</t>
  </si>
  <si>
    <t>Warty gracilaria</t>
  </si>
  <si>
    <t>Whitespotted wedgefish</t>
  </si>
  <si>
    <t>Wolf-herrings nei</t>
  </si>
  <si>
    <t>Wrasses, hogfishes, etc. nei</t>
  </si>
  <si>
    <t>Yellowfin tuna</t>
  </si>
  <si>
    <t>Yellowstripe scad</t>
  </si>
  <si>
    <t>Zanzibar weed</t>
  </si>
  <si>
    <t>Totals - Tonnes - live weight</t>
  </si>
  <si>
    <t>Totals - Number</t>
  </si>
  <si>
    <t>FAO. 2024. FishStat: Global capture production 1950-2022. [Accessed on 29 March 2024]. In:  FishStatJ. Available at www.fao.org/fishery/en/statistics/software/fishstatj. Licence: CC-BY-4.0.</t>
  </si>
  <si>
    <t>Total</t>
  </si>
  <si>
    <t>Barbonymus balleroides</t>
  </si>
  <si>
    <t>Thynnichthys vaillanti</t>
  </si>
  <si>
    <t>Puntioplites waandersi</t>
  </si>
  <si>
    <t>Cyclocheilichthys armatus</t>
  </si>
  <si>
    <t>Pangasius djambal</t>
  </si>
  <si>
    <t>Mystus nigriceps</t>
  </si>
  <si>
    <t>Mystacoleucus padangensis</t>
  </si>
  <si>
    <t>Species</t>
  </si>
  <si>
    <t>Mystus spp</t>
  </si>
  <si>
    <t>Gymnothorax spp</t>
  </si>
  <si>
    <t>Lethrinus spp</t>
  </si>
  <si>
    <t>Muraenesocidae</t>
  </si>
  <si>
    <t>Total_Catch_tonnes</t>
  </si>
  <si>
    <t>S2</t>
  </si>
  <si>
    <t>S3</t>
  </si>
  <si>
    <t>S4</t>
  </si>
  <si>
    <t>S5</t>
  </si>
  <si>
    <t>Top20</t>
  </si>
  <si>
    <t>% Change 2018-2022</t>
  </si>
  <si>
    <t>2018</t>
  </si>
  <si>
    <t>2019</t>
  </si>
  <si>
    <t>2020</t>
  </si>
  <si>
    <t>2021</t>
  </si>
  <si>
    <t>2022</t>
  </si>
  <si>
    <t>Range Price per kg</t>
  </si>
  <si>
    <r>
      <t>Sea catfishes</t>
    </r>
    <r>
      <rPr>
        <sz val="11"/>
        <color theme="1"/>
        <rFont val="Calibri"/>
        <family val="2"/>
        <scheme val="minor"/>
      </rPr>
      <t xml:space="preserve"> nei</t>
    </r>
  </si>
  <si>
    <t>$2.10 – $14.50</t>
  </si>
  <si>
    <t>max_price_kg</t>
  </si>
  <si>
    <t>min_price_kg</t>
  </si>
  <si>
    <t>Species name</t>
  </si>
  <si>
    <t>min_price_tonne</t>
  </si>
  <si>
    <t>max_price_tonne</t>
  </si>
  <si>
    <t>avg_price_tonne</t>
  </si>
  <si>
    <t>$0.95 – $1.60</t>
  </si>
  <si>
    <t>$0.50 – $1.10</t>
  </si>
  <si>
    <t>$1.45 – $1.85</t>
  </si>
  <si>
    <t>$0.90 – $1.40</t>
  </si>
  <si>
    <t>$3.20 – $5.80</t>
  </si>
  <si>
    <t>$3.50 – $5.00</t>
  </si>
  <si>
    <t>$5.50 – $9.00</t>
  </si>
  <si>
    <t>$1.80 – $2.60</t>
  </si>
  <si>
    <t>$1.10 – $1.60</t>
  </si>
  <si>
    <t>$1.00 – $1.80</t>
  </si>
  <si>
    <t>$6.00 – $11.50</t>
  </si>
  <si>
    <t>$0.45 – $0.85</t>
  </si>
  <si>
    <t>$1.20 – $1.75</t>
  </si>
  <si>
    <t>$0.80 – $1.35</t>
  </si>
  <si>
    <t>$1.50 – $3.20</t>
  </si>
  <si>
    <t>$0.35 – $0.95</t>
  </si>
  <si>
    <t>$6.50 – $12.50</t>
  </si>
  <si>
    <t>$5.80 – $9.50</t>
  </si>
  <si>
    <t>$0.60 – $1.25</t>
  </si>
  <si>
    <t>revenue_min_million</t>
  </si>
  <si>
    <t>revenue_max_million</t>
  </si>
  <si>
    <t>Indonesia Fisheries Summary 2018-2022</t>
  </si>
  <si>
    <t>Row Labels</t>
  </si>
  <si>
    <t>Grand Total</t>
  </si>
  <si>
    <t>Sum of Total_Catch_tonnes</t>
  </si>
  <si>
    <t>Sum of revenue_min_million</t>
  </si>
  <si>
    <t>Sum of % Change 2018-2022</t>
  </si>
  <si>
    <t>📊 INDONESIA FISHERIES ANALYSIS (2018-2022)</t>
  </si>
  <si>
    <t>Last Update</t>
  </si>
  <si>
    <t>: https://www.linkedin.com/in/radinal-radinal-319b8972/</t>
  </si>
  <si>
    <t>LinkedIn</t>
  </si>
  <si>
    <t>Email</t>
  </si>
  <si>
    <t>: radiradinal@outlook.com</t>
  </si>
  <si>
    <t>Role</t>
  </si>
  <si>
    <t>: Aspiring Data Analyst</t>
  </si>
  <si>
    <t>Author</t>
  </si>
  <si>
    <t>: Radinal</t>
  </si>
  <si>
    <t>2.596.481 Tonnes</t>
  </si>
  <si>
    <t>from 2018-2022</t>
  </si>
  <si>
    <t>#1 SCADS</t>
  </si>
  <si>
    <t>#1 SNAPPERS</t>
  </si>
  <si>
    <t>USD$ 5 MILLION</t>
  </si>
  <si>
    <t>#1 GROUPERS</t>
  </si>
  <si>
    <t>SEABASSES</t>
  </si>
  <si>
    <t>CONCLUSION</t>
  </si>
  <si>
    <t>*Findings are based on 2018–2022 FAO data and local market prices.
*Further analysis needed to establish causal links between fishing effort, environmental factors, and stock decline.</t>
  </si>
  <si>
    <r>
      <rPr>
        <sz val="26"/>
        <color theme="4"/>
        <rFont val="Agency FB"/>
        <family val="2"/>
      </rPr>
      <t xml:space="preserve">Snappers </t>
    </r>
    <r>
      <rPr>
        <sz val="26"/>
        <color theme="1"/>
        <rFont val="Agency FB"/>
        <family val="2"/>
      </rPr>
      <t xml:space="preserve">generate the best economic value ($5.03M), but </t>
    </r>
    <r>
      <rPr>
        <sz val="26"/>
        <color theme="4"/>
        <rFont val="Agency FB"/>
        <family val="2"/>
      </rPr>
      <t>Groupers</t>
    </r>
    <r>
      <rPr>
        <sz val="26"/>
        <color theme="1"/>
        <rFont val="Agency FB"/>
        <family val="2"/>
      </rPr>
      <t xml:space="preserve"> in the second place declining fastest (</t>
    </r>
    <r>
      <rPr>
        <sz val="26"/>
        <color theme="5" tint="-0.249977111117893"/>
        <rFont val="Agency FB"/>
        <family val="2"/>
      </rPr>
      <t>-79%</t>
    </r>
    <r>
      <rPr>
        <sz val="26"/>
        <color theme="1"/>
        <rFont val="Agency FB"/>
        <family val="2"/>
      </rPr>
      <t>) threatening future revenue.</t>
    </r>
  </si>
  <si>
    <t xml:space="preserve"> :   May 25th 2026</t>
  </si>
  <si>
    <r>
      <rPr>
        <sz val="26"/>
        <color theme="4"/>
        <rFont val="Agency FB"/>
        <family val="2"/>
      </rPr>
      <t>Scads</t>
    </r>
    <r>
      <rPr>
        <sz val="26"/>
        <color theme="1"/>
        <rFont val="Agency FB"/>
        <family val="2"/>
      </rPr>
      <t xml:space="preserve"> have the highest catch volume (2.6M tonnes), making them the backbone of Indonesia's bulk fishery output.
</t>
    </r>
  </si>
  <si>
    <r>
      <t>High volume ≠ high revenue. Species with moderate catch but premium prices (</t>
    </r>
    <r>
      <rPr>
        <sz val="26"/>
        <color theme="4"/>
        <rFont val="Agency FB"/>
        <family val="2"/>
      </rPr>
      <t>Snappers, Blue Swimming Crab</t>
    </r>
    <r>
      <rPr>
        <sz val="26"/>
        <color theme="1"/>
        <rFont val="Agency FB"/>
        <family val="2"/>
      </rPr>
      <t>) often drives revenue more than bulk catch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</si>
</sst>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F1115"/>
      <name val="Consolas"/>
      <family val="3"/>
    </font>
    <font>
      <sz val="11"/>
      <color rgb="FF0F1115"/>
      <name val="Calibri"/>
      <family val="2"/>
      <scheme val="minor"/>
    </font>
    <font>
      <sz val="11"/>
      <color rgb="FF0F1115"/>
      <name val="Consolas"/>
      <family val="3"/>
    </font>
    <font>
      <sz val="20"/>
      <color rgb="FF0F1115"/>
      <name val="Cascadia Code SemiBold"/>
      <family val="3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11"/>
      <color theme="10"/>
      <name val="Consolas"/>
      <family val="3"/>
    </font>
    <font>
      <sz val="26"/>
      <color theme="1"/>
      <name val="Agency FB"/>
      <family val="2"/>
    </font>
    <font>
      <sz val="24"/>
      <color theme="0"/>
      <name val="Calibri"/>
      <family val="2"/>
      <scheme val="minor"/>
    </font>
    <font>
      <sz val="12"/>
      <color theme="1"/>
      <name val="Agency FB"/>
      <family val="2"/>
    </font>
    <font>
      <sz val="26"/>
      <color theme="4"/>
      <name val="Agency FB"/>
      <family val="2"/>
    </font>
    <font>
      <sz val="26"/>
      <color theme="5" tint="-0.249977111117893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43" fontId="0" fillId="0" borderId="0" xfId="1" applyFont="1"/>
    <xf numFmtId="9" fontId="3" fillId="0" borderId="0" xfId="3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4" fontId="0" fillId="0" borderId="0" xfId="2" applyFont="1"/>
    <xf numFmtId="0" fontId="4" fillId="0" borderId="0" xfId="0" applyFont="1"/>
    <xf numFmtId="0" fontId="0" fillId="2" borderId="1" xfId="0" applyFill="1" applyBorder="1"/>
    <xf numFmtId="0" fontId="0" fillId="0" borderId="0" xfId="0" applyAlignment="1">
      <alignment vertical="center"/>
    </xf>
    <xf numFmtId="43" fontId="0" fillId="0" borderId="0" xfId="0" applyNumberFormat="1"/>
    <xf numFmtId="2" fontId="0" fillId="0" borderId="0" xfId="0" applyNumberFormat="1"/>
    <xf numFmtId="2" fontId="2" fillId="0" borderId="0" xfId="0" applyNumberFormat="1" applyFont="1" applyAlignment="1">
      <alignment horizontal="left" vertical="center" indent="1"/>
    </xf>
    <xf numFmtId="2" fontId="3" fillId="0" borderId="0" xfId="0" applyNumberFormat="1" applyFont="1" applyAlignment="1">
      <alignment horizontal="right" inden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4" applyFont="1"/>
    <xf numFmtId="0" fontId="10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top"/>
    </xf>
    <xf numFmtId="0" fontId="9" fillId="4" borderId="0" xfId="0" applyFont="1" applyFill="1" applyAlignment="1">
      <alignment horizontal="center" vertical="top"/>
    </xf>
    <xf numFmtId="0" fontId="9" fillId="4" borderId="0" xfId="0" applyFont="1" applyFill="1" applyAlignment="1">
      <alignment vertical="top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9" fontId="10" fillId="3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top"/>
    </xf>
    <xf numFmtId="9" fontId="10" fillId="3" borderId="0" xfId="0" applyNumberFormat="1" applyFont="1" applyFill="1" applyAlignment="1">
      <alignment horizontal="left" vertical="center" indent="12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12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[Radinal_Excel_Portfolio_Fisheries.xlsx]Top 5 by Revenue!PivotTable2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BEST REVENUE</a:t>
            </a:r>
          </a:p>
          <a:p>
            <a:pPr>
              <a:defRPr/>
            </a:pPr>
            <a:r>
              <a:rPr lang="en-US" sz="1200" b="0"/>
              <a:t>VOLUME</a:t>
            </a:r>
            <a:r>
              <a:rPr lang="en-US" sz="1200" b="0" baseline="0"/>
              <a:t> x DECENT PRICE</a:t>
            </a:r>
            <a:endParaRPr lang="en-US" sz="1200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by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by Revenue'!$A$2:$A$7</c:f>
              <c:strCache>
                <c:ptCount val="5"/>
                <c:pt idx="0">
                  <c:v>Snappers nei</c:v>
                </c:pt>
                <c:pt idx="1">
                  <c:v>Groupers, seabasses nei</c:v>
                </c:pt>
                <c:pt idx="2">
                  <c:v>Blue swimming crab</c:v>
                </c:pt>
                <c:pt idx="3">
                  <c:v>Narrow-barred Spanish mackerel</c:v>
                </c:pt>
                <c:pt idx="4">
                  <c:v>Snappers, jobfishes nei</c:v>
                </c:pt>
              </c:strCache>
            </c:strRef>
          </c:cat>
          <c:val>
            <c:numRef>
              <c:f>'Top 5 by Revenue'!$B$2:$B$7</c:f>
              <c:numCache>
                <c:formatCode>General</c:formatCode>
                <c:ptCount val="5"/>
                <c:pt idx="0">
                  <c:v>5.0291029250000001</c:v>
                </c:pt>
                <c:pt idx="1">
                  <c:v>4.6858550999999995</c:v>
                </c:pt>
                <c:pt idx="2">
                  <c:v>3.7495050449999994</c:v>
                </c:pt>
                <c:pt idx="3">
                  <c:v>3.3451382299999999</c:v>
                </c:pt>
                <c:pt idx="4">
                  <c:v>3.2964413100000005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6-4246-A35C-D4613E9448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290608"/>
        <c:axId val="125291024"/>
      </c:barChart>
      <c:catAx>
        <c:axId val="1252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1024"/>
        <c:crosses val="autoZero"/>
        <c:auto val="1"/>
        <c:lblAlgn val="ctr"/>
        <c:lblOffset val="100"/>
        <c:noMultiLvlLbl val="0"/>
      </c:catAx>
      <c:valAx>
        <c:axId val="1252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[Radinal_Excel_Portfolio_Fisheries.xlsx]Declining Species!PivotTable3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Declining Species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'Declining Species'!$B$1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'Declining Species'!$A$2:$A$7</c:f>
              <c:strCache>
                <c:ptCount val="5"/>
                <c:pt idx="0">
                  <c:v>Groupers, seabasses nei</c:v>
                </c:pt>
                <c:pt idx="1">
                  <c:v>Frigate tuna</c:v>
                </c:pt>
                <c:pt idx="2">
                  <c:v>Yellowfin tuna</c:v>
                </c:pt>
                <c:pt idx="3">
                  <c:v>Indian mackerels nei</c:v>
                </c:pt>
                <c:pt idx="4">
                  <c:v>Goldstripe sardinella</c:v>
                </c:pt>
              </c:strCache>
            </c:strRef>
          </c:cat>
          <c:val>
            <c:numRef>
              <c:f>'Declining Species'!$B$2:$B$7</c:f>
              <c:numCache>
                <c:formatCode>0%</c:formatCode>
                <c:ptCount val="5"/>
                <c:pt idx="0">
                  <c:v>-0.79215006173612945</c:v>
                </c:pt>
                <c:pt idx="1">
                  <c:v>-0.48297090240600954</c:v>
                </c:pt>
                <c:pt idx="2">
                  <c:v>-0.4140832544440684</c:v>
                </c:pt>
                <c:pt idx="3">
                  <c:v>-0.37990425845035247</c:v>
                </c:pt>
                <c:pt idx="4">
                  <c:v>-0.16567750379395754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2E-476E-8F63-883CBC44C6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3690576"/>
        <c:axId val="263692656"/>
      </c:barChart>
      <c:catAx>
        <c:axId val="2636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2656"/>
        <c:crosses val="autoZero"/>
        <c:auto val="1"/>
        <c:lblAlgn val="ctr"/>
        <c:lblOffset val="100"/>
        <c:noMultiLvlLbl val="0"/>
      </c:catAx>
      <c:valAx>
        <c:axId val="2636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[Radinal_Excel_Portfolio_Fisheries.xlsx]Top 5 Species by Catch!PivotTable1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HIGHEST</a:t>
            </a:r>
            <a:r>
              <a:rPr lang="en-US" sz="2000" baseline="0"/>
              <a:t> CATCH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Species by Catch'!$B$1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Species by Catch'!$A$2:$A$7</c:f>
              <c:strCache>
                <c:ptCount val="5"/>
                <c:pt idx="0">
                  <c:v>Scads nei</c:v>
                </c:pt>
                <c:pt idx="1">
                  <c:v>Marine fishes nei</c:v>
                </c:pt>
                <c:pt idx="2">
                  <c:v>Skipjack tuna</c:v>
                </c:pt>
                <c:pt idx="3">
                  <c:v>Yellowfin tuna</c:v>
                </c:pt>
                <c:pt idx="4">
                  <c:v>Indian mackerels nei</c:v>
                </c:pt>
              </c:strCache>
            </c:strRef>
          </c:cat>
          <c:val>
            <c:numRef>
              <c:f>'Top 5 Species by Catch'!$B$2:$B$7</c:f>
              <c:numCache>
                <c:formatCode>General</c:formatCode>
                <c:ptCount val="5"/>
                <c:pt idx="0">
                  <c:v>2596480.5599999996</c:v>
                </c:pt>
                <c:pt idx="1">
                  <c:v>1993648.16</c:v>
                </c:pt>
                <c:pt idx="2">
                  <c:v>1982631.79</c:v>
                </c:pt>
                <c:pt idx="3">
                  <c:v>1318443.27</c:v>
                </c:pt>
                <c:pt idx="4">
                  <c:v>1099882.18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D-48B0-885B-03B61035E6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3690576"/>
        <c:axId val="263692656"/>
      </c:barChart>
      <c:catAx>
        <c:axId val="2636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2656"/>
        <c:crosses val="autoZero"/>
        <c:auto val="1"/>
        <c:lblAlgn val="ctr"/>
        <c:lblOffset val="100"/>
        <c:noMultiLvlLbl val="0"/>
      </c:catAx>
      <c:valAx>
        <c:axId val="2636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[Radinal_Excel_Portfolio_Fisheries.xlsx]Top 5 Species by Catch!PivotTable1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Species by Catch (in Tonnes)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Species by Catch'!$B$1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Species by Catch'!$A$2:$A$7</c:f>
              <c:strCache>
                <c:ptCount val="5"/>
                <c:pt idx="0">
                  <c:v>Scads nei</c:v>
                </c:pt>
                <c:pt idx="1">
                  <c:v>Marine fishes nei</c:v>
                </c:pt>
                <c:pt idx="2">
                  <c:v>Skipjack tuna</c:v>
                </c:pt>
                <c:pt idx="3">
                  <c:v>Yellowfin tuna</c:v>
                </c:pt>
                <c:pt idx="4">
                  <c:v>Indian mackerels nei</c:v>
                </c:pt>
              </c:strCache>
            </c:strRef>
          </c:cat>
          <c:val>
            <c:numRef>
              <c:f>'Top 5 Species by Catch'!$B$2:$B$7</c:f>
              <c:numCache>
                <c:formatCode>General</c:formatCode>
                <c:ptCount val="5"/>
                <c:pt idx="0">
                  <c:v>2596480.5599999996</c:v>
                </c:pt>
                <c:pt idx="1">
                  <c:v>1993648.16</c:v>
                </c:pt>
                <c:pt idx="2">
                  <c:v>1982631.79</c:v>
                </c:pt>
                <c:pt idx="3">
                  <c:v>1318443.27</c:v>
                </c:pt>
                <c:pt idx="4">
                  <c:v>1099882.18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C-48D4-A6A4-DAE0C176D2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63690576"/>
        <c:axId val="263692656"/>
      </c:barChart>
      <c:catAx>
        <c:axId val="26369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2656"/>
        <c:crosses val="autoZero"/>
        <c:auto val="1"/>
        <c:lblAlgn val="ctr"/>
        <c:lblOffset val="100"/>
        <c:noMultiLvlLbl val="0"/>
      </c:catAx>
      <c:valAx>
        <c:axId val="2636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9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[Radinal_Excel_Portfolio_Fisheries.xlsx]Top 5 by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by Revenue (In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by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by Revenue'!$A$2:$A$7</c:f>
              <c:strCache>
                <c:ptCount val="5"/>
                <c:pt idx="0">
                  <c:v>Snappers nei</c:v>
                </c:pt>
                <c:pt idx="1">
                  <c:v>Groupers, seabasses nei</c:v>
                </c:pt>
                <c:pt idx="2">
                  <c:v>Blue swimming crab</c:v>
                </c:pt>
                <c:pt idx="3">
                  <c:v>Narrow-barred Spanish mackerel</c:v>
                </c:pt>
                <c:pt idx="4">
                  <c:v>Snappers, jobfishes nei</c:v>
                </c:pt>
              </c:strCache>
            </c:strRef>
          </c:cat>
          <c:val>
            <c:numRef>
              <c:f>'Top 5 by Revenue'!$B$2:$B$7</c:f>
              <c:numCache>
                <c:formatCode>General</c:formatCode>
                <c:ptCount val="5"/>
                <c:pt idx="0">
                  <c:v>5.0291029250000001</c:v>
                </c:pt>
                <c:pt idx="1">
                  <c:v>4.6858550999999995</c:v>
                </c:pt>
                <c:pt idx="2">
                  <c:v>3.7495050449999994</c:v>
                </c:pt>
                <c:pt idx="3">
                  <c:v>3.3451382299999999</c:v>
                </c:pt>
                <c:pt idx="4">
                  <c:v>3.2964413100000005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1D6-B1AC-85AD85255C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290608"/>
        <c:axId val="125291024"/>
      </c:barChart>
      <c:catAx>
        <c:axId val="1252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1024"/>
        <c:crosses val="autoZero"/>
        <c:auto val="1"/>
        <c:lblAlgn val="ctr"/>
        <c:lblOffset val="100"/>
        <c:noMultiLvlLbl val="0"/>
      </c:catAx>
      <c:valAx>
        <c:axId val="1252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[Radinal_Excel_Portfolio_Fisheries.xlsx]Declining Species!PivotTable3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dLbl>
          <c:idx val="0"/>
          <c:layout>
            <c:manualLayout>
              <c:x val="8.8889107611548557E-2"/>
              <c:y val="0"/>
            </c:manualLayout>
          </c:layout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36111111111111"/>
          <c:y val="0.27819225721784779"/>
          <c:w val="0.79305555555555551"/>
          <c:h val="0.6801410761154855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'Declining Species'!$B$1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alpha val="88000"/>
                </a:schemeClr>
              </a:solidFill>
              <a:ln>
                <a:solidFill>
                  <a:schemeClr val="accent1">
                    <a:lumMod val="5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flat">
                <a:contourClr>
                  <a:schemeClr val="accent1">
                    <a:lumMod val="50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37-47A6-93F2-8D1FBFF2E2B8}"/>
              </c:ext>
            </c:extLst>
          </c:dPt>
          <c:dLbls>
            <c:dLbl>
              <c:idx val="4"/>
              <c:layout>
                <c:manualLayout>
                  <c:x val="8.888910761154855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37-47A6-93F2-8D1FBFF2E2B8}"/>
                </c:ext>
              </c:extLst>
            </c:dLbl>
            <c:spPr>
              <a:solidFill>
                <a:srgbClr val="4472C4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'Declining Species'!$A$2:$A$7</c:f>
              <c:strCache>
                <c:ptCount val="5"/>
                <c:pt idx="0">
                  <c:v>Groupers, seabasses nei</c:v>
                </c:pt>
                <c:pt idx="1">
                  <c:v>Frigate tuna</c:v>
                </c:pt>
                <c:pt idx="2">
                  <c:v>Yellowfin tuna</c:v>
                </c:pt>
                <c:pt idx="3">
                  <c:v>Indian mackerels nei</c:v>
                </c:pt>
                <c:pt idx="4">
                  <c:v>Goldstripe sardinella</c:v>
                </c:pt>
              </c:strCache>
            </c:strRef>
          </c:cat>
          <c:val>
            <c:numRef>
              <c:f>'Declining Species'!$B$2:$B$7</c:f>
              <c:numCache>
                <c:formatCode>0%</c:formatCode>
                <c:ptCount val="5"/>
                <c:pt idx="0">
                  <c:v>-0.79215006173612945</c:v>
                </c:pt>
                <c:pt idx="1">
                  <c:v>-0.48297090240600954</c:v>
                </c:pt>
                <c:pt idx="2">
                  <c:v>-0.4140832544440684</c:v>
                </c:pt>
                <c:pt idx="3">
                  <c:v>-0.37990425845035247</c:v>
                </c:pt>
                <c:pt idx="4">
                  <c:v>-0.16567750379395754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7-47A6-93F2-8D1FBFF2E2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376879584"/>
        <c:axId val="376884576"/>
        <c:axId val="0"/>
      </c:bar3DChart>
      <c:catAx>
        <c:axId val="376879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884576"/>
        <c:crosses val="autoZero"/>
        <c:auto val="1"/>
        <c:lblAlgn val="ctr"/>
        <c:lblOffset val="100"/>
        <c:noMultiLvlLbl val="0"/>
      </c:catAx>
      <c:valAx>
        <c:axId val="376884576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37687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43543</xdr:colOff>
      <xdr:row>12</xdr:row>
      <xdr:rowOff>2719</xdr:rowOff>
    </xdr:from>
    <xdr:to>
      <xdr:col>14</xdr:col>
      <xdr:colOff>40822</xdr:colOff>
      <xdr:row>29</xdr:row>
      <xdr:rowOff>149678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98531-F37A-486A-83B9-7A881E9D3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174171</xdr:colOff>
      <xdr:row>12</xdr:row>
      <xdr:rowOff>47622</xdr:rowOff>
    </xdr:from>
    <xdr:to>
      <xdr:col>21</xdr:col>
      <xdr:colOff>13608</xdr:colOff>
      <xdr:row>29</xdr:row>
      <xdr:rowOff>176891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02A069-AB92-4A02-9B35-9B81C6E88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27214</xdr:colOff>
      <xdr:row>12</xdr:row>
      <xdr:rowOff>1361</xdr:rowOff>
    </xdr:from>
    <xdr:to>
      <xdr:col>6</xdr:col>
      <xdr:colOff>503465</xdr:colOff>
      <xdr:row>29</xdr:row>
      <xdr:rowOff>163285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7AE8B1-C4B3-4C7F-B41E-66ACFC9AE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189331</xdr:colOff>
      <xdr:row>4</xdr:row>
      <xdr:rowOff>164502</xdr:rowOff>
    </xdr:from>
    <xdr:to>
      <xdr:col>17</xdr:col>
      <xdr:colOff>397499</xdr:colOff>
      <xdr:row>6</xdr:row>
      <xdr:rowOff>67106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191E2733-1366-B91D-FBEB-E33DF1FA8ED1}"/>
            </a:ext>
          </a:extLst>
        </xdr:cNvPr>
        <xdr:cNvSpPr/>
      </xdr:nvSpPr>
      <xdr:spPr>
        <a:xfrm rot="2632485">
          <a:off x="10562056" y="926502"/>
          <a:ext cx="208168" cy="283604"/>
        </a:xfrm>
        <a:prstGeom prst="down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598714</xdr:colOff>
      <xdr:row>35</xdr:row>
      <xdr:rowOff>163286</xdr:rowOff>
    </xdr:from>
    <xdr:to>
      <xdr:col>4</xdr:col>
      <xdr:colOff>326571</xdr:colOff>
      <xdr:row>40</xdr:row>
      <xdr:rowOff>81643</xdr:rowOff>
    </xdr:to>
    <xdr:sp macro="" textlink="">
      <xdr:nvSpPr>
        <xdr:cNvPr id="13" name="Flowchart: Connector 12">
          <a:extLst>
            <a:ext uri="{FF2B5EF4-FFF2-40B4-BE49-F238E27FC236}">
              <a16:creationId xmlns:a16="http://schemas.microsoft.com/office/drawing/2014/main" id="{AE806FFD-3DE3-5C6E-0693-4222A81A1B72}"/>
            </a:ext>
          </a:extLst>
        </xdr:cNvPr>
        <xdr:cNvSpPr/>
      </xdr:nvSpPr>
      <xdr:spPr>
        <a:xfrm>
          <a:off x="1836964" y="6830786"/>
          <a:ext cx="952500" cy="870857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latin typeface="Agency FB" panose="020B0503020202020204" pitchFamily="34" charset="0"/>
            </a:rPr>
            <a:t>1</a:t>
          </a:r>
          <a:endParaRPr lang="en-US" sz="1100">
            <a:latin typeface="Agency FB" panose="020B0503020202020204" pitchFamily="34" charset="0"/>
          </a:endParaRPr>
        </a:p>
      </xdr:txBody>
    </xdr:sp>
    <xdr:clientData/>
  </xdr:twoCellAnchor>
  <xdr:twoCellAnchor>
    <xdr:from>
      <xdr:col>10</xdr:col>
      <xdr:colOff>95250</xdr:colOff>
      <xdr:row>35</xdr:row>
      <xdr:rowOff>163286</xdr:rowOff>
    </xdr:from>
    <xdr:to>
      <xdr:col>11</xdr:col>
      <xdr:colOff>435428</xdr:colOff>
      <xdr:row>40</xdr:row>
      <xdr:rowOff>81643</xdr:rowOff>
    </xdr:to>
    <xdr:sp macro="" textlink="">
      <xdr:nvSpPr>
        <xdr:cNvPr id="14" name="Flowchart: Connector 13">
          <a:extLst>
            <a:ext uri="{FF2B5EF4-FFF2-40B4-BE49-F238E27FC236}">
              <a16:creationId xmlns:a16="http://schemas.microsoft.com/office/drawing/2014/main" id="{0A35A412-51E6-487B-835F-4D9861CD49AD}"/>
            </a:ext>
          </a:extLst>
        </xdr:cNvPr>
        <xdr:cNvSpPr/>
      </xdr:nvSpPr>
      <xdr:spPr>
        <a:xfrm>
          <a:off x="5728607" y="6830786"/>
          <a:ext cx="952500" cy="870857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44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gency FB" panose="020B0503020202020204" pitchFamily="34" charset="0"/>
              <a:ea typeface="+mn-ea"/>
              <a:cs typeface="+mn-cs"/>
            </a:rPr>
            <a:t>2</a:t>
          </a:r>
          <a:endParaRPr lang="en-US" sz="1100"/>
        </a:p>
      </xdr:txBody>
    </xdr:sp>
    <xdr:clientData/>
  </xdr:twoCellAnchor>
  <xdr:twoCellAnchor>
    <xdr:from>
      <xdr:col>17</xdr:col>
      <xdr:colOff>190500</xdr:colOff>
      <xdr:row>35</xdr:row>
      <xdr:rowOff>149679</xdr:rowOff>
    </xdr:from>
    <xdr:to>
      <xdr:col>18</xdr:col>
      <xdr:colOff>530679</xdr:colOff>
      <xdr:row>40</xdr:row>
      <xdr:rowOff>68036</xdr:rowOff>
    </xdr:to>
    <xdr:sp macro="" textlink="">
      <xdr:nvSpPr>
        <xdr:cNvPr id="15" name="Flowchart: Connector 14">
          <a:extLst>
            <a:ext uri="{FF2B5EF4-FFF2-40B4-BE49-F238E27FC236}">
              <a16:creationId xmlns:a16="http://schemas.microsoft.com/office/drawing/2014/main" id="{B18A44C5-E63C-49EF-ACCB-5D5203291A0B}"/>
            </a:ext>
          </a:extLst>
        </xdr:cNvPr>
        <xdr:cNvSpPr/>
      </xdr:nvSpPr>
      <xdr:spPr>
        <a:xfrm>
          <a:off x="9593036" y="6817179"/>
          <a:ext cx="952500" cy="870857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44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Agency FB" panose="020B0503020202020204" pitchFamily="34" charset="0"/>
              <a:ea typeface="+mn-ea"/>
              <a:cs typeface="+mn-cs"/>
            </a:rPr>
            <a:t>3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11</xdr:row>
      <xdr:rowOff>71437</xdr:rowOff>
    </xdr:from>
    <xdr:to>
      <xdr:col>12</xdr:col>
      <xdr:colOff>428625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E63106-BDAB-39E4-FBA7-07F95034A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1800225</xdr:colOff>
      <xdr:row>11</xdr:row>
      <xdr:rowOff>185737</xdr:rowOff>
    </xdr:from>
    <xdr:to>
      <xdr:col>11</xdr:col>
      <xdr:colOff>495300</xdr:colOff>
      <xdr:row>26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6C172D-0A91-F611-10E0-80794D22E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11</xdr:row>
      <xdr:rowOff>71437</xdr:rowOff>
    </xdr:from>
    <xdr:to>
      <xdr:col>11</xdr:col>
      <xdr:colOff>276225</xdr:colOff>
      <xdr:row>25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65830C-958A-E34E-F028-A91DB44D5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719494212964" createdVersion="8" refreshedVersion="8" minRefreshableVersion="3" recordCount="5" xr:uid="{08833390-2511-4609-8972-BC182DF4290B}">
  <cacheSource type="worksheet">
    <worksheetSource ref="A1:B6" sheet="Analysis"/>
  </cacheSource>
  <cacheFields count="2">
    <cacheField name="Species" numFmtId="0">
      <sharedItems count="5">
        <s v="Scads nei"/>
        <s v="Marine fishes nei"/>
        <s v="Skipjack tuna"/>
        <s v="Yellowfin tuna"/>
        <s v="Indian mackerels nei"/>
      </sharedItems>
    </cacheField>
    <cacheField name="Total_Catch_tonnes" numFmtId="43">
      <sharedItems containsSemiMixedTypes="0" containsString="0" containsNumber="1" minValue="1099882.18" maxValue="2596480.55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722223032404" createdVersion="8" refreshedVersion="8" minRefreshableVersion="3" recordCount="20" xr:uid="{D94DDA27-27E2-4E5C-84B6-06F99222DB4D}">
  <cacheSource type="worksheet">
    <worksheetSource ref="A1:G21" sheet="Analysis"/>
  </cacheSource>
  <cacheFields count="7">
    <cacheField name="Species" numFmtId="0">
      <sharedItems count="20">
        <s v="Scads nei"/>
        <s v="Marine fishes nei"/>
        <s v="Skipjack tuna"/>
        <s v="Yellowfin tuna"/>
        <s v="Indian mackerels nei"/>
        <s v="Common squids nei"/>
        <s v="Narrow-barred Spanish mackerel"/>
        <s v="Snappers nei"/>
        <s v="Longtail tuna"/>
        <s v="Frigate tuna"/>
        <s v="Carangids nei"/>
        <s v="Groupers, seabasses nei"/>
        <s v="Goldstripe sardinella"/>
        <s v="Kawakawa"/>
        <s v="Yellowstripe scad"/>
        <s v="Goatfishes"/>
        <s v="Anchovies, etc. nei"/>
        <s v="Blue swimming crab"/>
        <s v="Snappers, jobfishes nei"/>
        <s v="Sea catfishes nei"/>
      </sharedItems>
    </cacheField>
    <cacheField name="Total_Catch_tonnes" numFmtId="43">
      <sharedItems containsSemiMixedTypes="0" containsString="0" containsNumber="1" minValue="516015.28" maxValue="2596480.5599999996"/>
    </cacheField>
    <cacheField name="min_price_tonne" numFmtId="2">
      <sharedItems containsSemiMixedTypes="0" containsString="0" containsNumber="1" minValue="0.35" maxValue="6.5"/>
    </cacheField>
    <cacheField name="max_price_tonne" numFmtId="2">
      <sharedItems containsSemiMixedTypes="0" containsString="0" containsNumber="1" minValue="0.85" maxValue="14.5"/>
    </cacheField>
    <cacheField name="avg_price_tonne" numFmtId="2">
      <sharedItems containsSemiMixedTypes="0" containsString="0" containsNumber="1" containsInteger="1" minValue="8" maxValue="1475"/>
    </cacheField>
    <cacheField name="revenue_min_million" numFmtId="43">
      <sharedItems containsSemiMixedTypes="0" containsString="0" containsNumber="1" minValue="0.20630280999999998" maxValue="5.0291029250000001"/>
    </cacheField>
    <cacheField name="revenue_max_million" numFmtId="43">
      <sharedItems containsSemiMixedTypes="0" containsString="0" containsNumber="1" minValue="0.55996476999999989" maxValue="19.117427414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724832870372" createdVersion="8" refreshedVersion="8" minRefreshableVersion="3" recordCount="20" xr:uid="{3B4EFE34-9EFA-4399-B4E3-68537AF1E0B6}">
  <cacheSource type="worksheet">
    <worksheetSource name="Table7"/>
  </cacheSource>
  <cacheFields count="7">
    <cacheField name="Top20" numFmtId="0">
      <sharedItems count="20">
        <s v="Yellowfin tuna"/>
        <s v="Frigate tuna"/>
        <s v="Sea catfishes nei"/>
        <s v="Blue swimming crab"/>
        <s v="Anchovies, etc. nei"/>
        <s v="Longtail tuna"/>
        <s v="Goatfishes"/>
        <s v="Snappers, jobfishes nei"/>
        <s v="Skipjack tuna"/>
        <s v="Snappers nei"/>
        <s v="Kawakawa"/>
        <s v="Marine fishes nei"/>
        <s v="Carangids nei"/>
        <s v="Indian mackerels nei"/>
        <s v="Scads nei"/>
        <s v="Narrow-barred Spanish mackerel"/>
        <s v="Common squids nei"/>
        <s v="Yellowstripe scad"/>
        <s v="Goldstripe sardinella"/>
        <s v="Groupers, seabasses nei"/>
      </sharedItems>
    </cacheField>
    <cacheField name="2018" numFmtId="43">
      <sharedItems containsSemiMixedTypes="0" containsString="0" containsNumber="1" minValue="0" maxValue="1110233.19"/>
    </cacheField>
    <cacheField name="2019" numFmtId="43">
      <sharedItems containsSemiMixedTypes="0" containsString="0" containsNumber="1" minValue="100217.62" maxValue="518516.14"/>
    </cacheField>
    <cacheField name="2020" numFmtId="43">
      <sharedItems containsSemiMixedTypes="0" containsString="0" containsNumber="1" minValue="90470.15" maxValue="548659.90999999992"/>
    </cacheField>
    <cacheField name="2021" numFmtId="43">
      <sharedItems containsSemiMixedTypes="0" containsString="0" containsNumber="1" minValue="99510.15" maxValue="527173.16"/>
    </cacheField>
    <cacheField name="2022" numFmtId="43">
      <sharedItems containsSemiMixedTypes="0" containsString="0" containsNumber="1" minValue="97096.67" maxValue="492396.62"/>
    </cacheField>
    <cacheField name="% Change 2018-2022" numFmtId="9">
      <sharedItems containsSemiMixedTypes="0" containsString="0" containsNumber="1" minValue="-0.79215006173612945" maxValue="1.30581849338302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596480.5599999996"/>
  </r>
  <r>
    <x v="1"/>
    <n v="1993648.16"/>
  </r>
  <r>
    <x v="2"/>
    <n v="1982631.79"/>
  </r>
  <r>
    <x v="3"/>
    <n v="1318443.27"/>
  </r>
  <r>
    <x v="4"/>
    <n v="1099882.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596480.5599999996"/>
    <n v="0.95"/>
    <n v="1.6"/>
    <n v="1275"/>
    <n v="2.4666565319999996"/>
    <n v="4.1543688959999994"/>
  </r>
  <r>
    <x v="1"/>
    <n v="1993648.16"/>
    <n v="0.5"/>
    <n v="1.1000000000000001"/>
    <n v="8"/>
    <n v="0.99682408"/>
    <n v="2.1930129760000003"/>
  </r>
  <r>
    <x v="2"/>
    <n v="1982631.79"/>
    <n v="1.45"/>
    <n v="1.85"/>
    <n v="165"/>
    <n v="2.8748160954999999"/>
    <n v="3.6678688115000004"/>
  </r>
  <r>
    <x v="3"/>
    <n v="1318443.27"/>
    <n v="2.1"/>
    <n v="14.5"/>
    <n v="83"/>
    <n v="2.7687308669999999"/>
    <n v="19.117427414999998"/>
  </r>
  <r>
    <x v="4"/>
    <n v="1099882.18"/>
    <n v="0.9"/>
    <n v="1.4"/>
    <n v="115"/>
    <n v="0.98989396199999991"/>
    <n v="1.5398350519999999"/>
  </r>
  <r>
    <x v="5"/>
    <n v="999240.23"/>
    <n v="3.2"/>
    <n v="5.8"/>
    <n v="45"/>
    <n v="3.197568736"/>
    <n v="5.7955933339999994"/>
  </r>
  <r>
    <x v="6"/>
    <n v="955753.78"/>
    <n v="3.5"/>
    <n v="5"/>
    <n v="425"/>
    <n v="3.3451382299999999"/>
    <n v="4.7787689000000002"/>
  </r>
  <r>
    <x v="7"/>
    <n v="914382.35"/>
    <n v="5.5"/>
    <n v="9"/>
    <n v="725"/>
    <n v="5.0291029250000001"/>
    <n v="8.2294411499999995"/>
  </r>
  <r>
    <x v="8"/>
    <n v="882434.55999999994"/>
    <n v="1.8"/>
    <n v="2.6"/>
    <n v="22"/>
    <n v="1.5883822079999999"/>
    <n v="2.2943298560000001"/>
  </r>
  <r>
    <x v="9"/>
    <n v="871949.25"/>
    <n v="1.1000000000000001"/>
    <n v="1.6"/>
    <n v="135"/>
    <n v="0.95914417500000004"/>
    <n v="1.3951188000000001"/>
  </r>
  <r>
    <x v="10"/>
    <n v="844429.78"/>
    <n v="1"/>
    <n v="1.8"/>
    <n v="14"/>
    <n v="0.84442978000000002"/>
    <n v="1.519973604"/>
  </r>
  <r>
    <x v="11"/>
    <n v="780975.85"/>
    <n v="6"/>
    <n v="11.5"/>
    <n v="875"/>
    <n v="4.6858550999999995"/>
    <n v="8.9812222750000004"/>
  </r>
  <r>
    <x v="12"/>
    <n v="768268.37"/>
    <n v="0.45"/>
    <n v="0.85"/>
    <n v="65"/>
    <n v="0.34572076650000005"/>
    <n v="0.65302811449999998"/>
  </r>
  <r>
    <x v="13"/>
    <n v="728515.34000000008"/>
    <n v="1.2"/>
    <n v="1.75"/>
    <n v="1475"/>
    <n v="0.87421840800000006"/>
    <n v="1.2749018450000003"/>
  </r>
  <r>
    <x v="14"/>
    <n v="613546.23999999999"/>
    <n v="0.8"/>
    <n v="1.35"/>
    <n v="1075"/>
    <n v="0.49083699200000003"/>
    <n v="0.82828742399999999"/>
  </r>
  <r>
    <x v="15"/>
    <n v="603736.30999999994"/>
    <n v="1.5"/>
    <n v="3.2"/>
    <n v="235"/>
    <n v="0.9056044649999998"/>
    <n v="1.9319561919999999"/>
  </r>
  <r>
    <x v="16"/>
    <n v="589436.6"/>
    <n v="0.35"/>
    <n v="0.95"/>
    <n v="65"/>
    <n v="0.20630280999999998"/>
    <n v="0.55996476999999989"/>
  </r>
  <r>
    <x v="17"/>
    <n v="576846.92999999993"/>
    <n v="6.5"/>
    <n v="12.5"/>
    <n v="95"/>
    <n v="3.7495050449999994"/>
    <n v="7.2105866249999995"/>
  </r>
  <r>
    <x v="18"/>
    <n v="568351.95000000007"/>
    <n v="5.8"/>
    <n v="9.5"/>
    <n v="765"/>
    <n v="3.2964413100000005"/>
    <n v="5.3993435250000008"/>
  </r>
  <r>
    <x v="19"/>
    <n v="516015.28"/>
    <n v="0.6"/>
    <n v="1.25"/>
    <n v="925"/>
    <n v="0.30960916799999999"/>
    <n v="0.6450191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65717.51999999999"/>
    <n v="116016.82"/>
    <n v="98505.76999999999"/>
    <n v="99510.15"/>
    <n v="97096.67"/>
    <n v="-0.4140832544440684"/>
  </r>
  <r>
    <x v="1"/>
    <n v="339152.44"/>
    <n v="120830"/>
    <n v="131785.18"/>
    <n v="147263.05000000002"/>
    <n v="175351.67999999999"/>
    <n v="-0.48297090240600954"/>
  </r>
  <r>
    <x v="2"/>
    <n v="0"/>
    <n v="195741.47000000003"/>
    <n v="193755.33000000002"/>
    <n v="199625.99"/>
    <n v="191853.06"/>
    <n v="-1.9865029112124438E-2"/>
  </r>
  <r>
    <x v="3"/>
    <n v="80396.06"/>
    <n v="138557.04999999999"/>
    <n v="120437.78"/>
    <n v="135456.45000000001"/>
    <n v="138698.9"/>
    <n v="0.72519523966721755"/>
  </r>
  <r>
    <x v="4"/>
    <n v="218295.12"/>
    <n v="194299.04"/>
    <n v="193583.84"/>
    <n v="204337.72"/>
    <n v="188724.51"/>
    <n v="-0.13546161728214531"/>
  </r>
  <r>
    <x v="5"/>
    <n v="370367.38"/>
    <n v="426847.33999999997"/>
    <n v="374288.43"/>
    <n v="404358.07999999996"/>
    <n v="406770.56"/>
    <n v="9.828937958845077E-2"/>
  </r>
  <r>
    <x v="6"/>
    <n v="150950.74"/>
    <n v="172320.4"/>
    <n v="191016.24"/>
    <n v="193441.97"/>
    <n v="248024.43000000002"/>
    <n v="0.64308190870743687"/>
  </r>
  <r>
    <x v="7"/>
    <n v="132296.25"/>
    <n v="142386.73000000001"/>
    <n v="152072.16"/>
    <n v="167355.83000000002"/>
    <n v="174157.40000000002"/>
    <n v="0.31641977758250911"/>
  </r>
  <r>
    <x v="8"/>
    <n v="114776.86"/>
    <n v="100217.62"/>
    <n v="90470.15"/>
    <n v="99882.83"/>
    <n v="110667.82"/>
    <n v="-3.5800247541185513E-2"/>
  </r>
  <r>
    <x v="9"/>
    <n v="0"/>
    <n v="132550.85"/>
    <n v="155115.06"/>
    <n v="148926.72"/>
    <n v="131759.32"/>
    <n v="-5.9715196092669249E-3"/>
  </r>
  <r>
    <x v="10"/>
    <n v="0"/>
    <n v="262828.53999999998"/>
    <n v="271138.80000000005"/>
    <n v="285110.92"/>
    <n v="280803.92"/>
    <n v="6.8392039920778788E-2"/>
  </r>
  <r>
    <x v="11"/>
    <n v="91386.2"/>
    <n v="183639.4"/>
    <n v="211135.31"/>
    <n v="175068.35"/>
    <n v="210719.99"/>
    <n v="1.3058184933830272"/>
  </r>
  <r>
    <x v="12"/>
    <n v="147505.09"/>
    <n v="129952.32000000001"/>
    <n v="148146.41999999998"/>
    <n v="146602.57999999999"/>
    <n v="156308.93"/>
    <n v="5.9684991209455869E-2"/>
  </r>
  <r>
    <x v="13"/>
    <n v="0"/>
    <n v="198720.41"/>
    <n v="140667.07999999999"/>
    <n v="126823.43000000001"/>
    <n v="123225.68"/>
    <n v="-0.37990425845035247"/>
  </r>
  <r>
    <x v="14"/>
    <n v="238096.46"/>
    <n v="254731.22"/>
    <n v="264606.65999999997"/>
    <n v="291165.77"/>
    <n v="269843.16000000003"/>
    <n v="0.1333354557224414"/>
  </r>
  <r>
    <x v="15"/>
    <n v="107063.59"/>
    <n v="111395.37000000001"/>
    <n v="114060.45"/>
    <n v="118856.09"/>
    <n v="152360.81"/>
    <n v="0.42308706442591737"/>
  </r>
  <r>
    <x v="16"/>
    <n v="184648.68"/>
    <n v="132643.38999999998"/>
    <n v="155358.81"/>
    <n v="208183.94"/>
    <n v="201599.74"/>
    <n v="9.1801685232734936E-2"/>
  </r>
  <r>
    <x v="17"/>
    <n v="509734.73"/>
    <n v="518516.14"/>
    <n v="548659.90999999992"/>
    <n v="527173.16"/>
    <n v="492396.62"/>
    <n v="-3.4013986058984029E-2"/>
  </r>
  <r>
    <x v="18"/>
    <n v="0"/>
    <n v="231539.21999999997"/>
    <n v="221448.24"/>
    <n v="198263.94"/>
    <n v="193178.38"/>
    <n v="-0.16567750379395754"/>
  </r>
  <r>
    <x v="19"/>
    <n v="1110233.19"/>
    <n v="300986.8"/>
    <n v="168759.67999999999"/>
    <n v="182906.59"/>
    <n v="230761.9"/>
    <n v="-0.792150061736129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C92F4-E6B5-48CC-95C3-8A2506C929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7" firstHeaderRow="1" firstDataRow="1" firstDataCol="1"/>
  <pivotFields count="2"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</pivotFields>
  <rowFields count="1">
    <field x="0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Sum of Total_Catch_tonne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821C0-0F8E-40FB-A795-B48096AEAF3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7" firstHeaderRow="1" firstDataRow="1" firstDataCol="1"/>
  <pivotFields count="7">
    <pivotField axis="axisRow" showAll="0" sortType="descending">
      <items count="21">
        <item h="1" x="16"/>
        <item x="17"/>
        <item h="1" x="10"/>
        <item h="1" x="5"/>
        <item h="1" x="9"/>
        <item h="1" x="15"/>
        <item h="1" x="12"/>
        <item x="11"/>
        <item h="1" x="4"/>
        <item h="1" x="13"/>
        <item h="1" x="8"/>
        <item h="1" x="1"/>
        <item x="6"/>
        <item h="1" x="0"/>
        <item h="1" x="19"/>
        <item h="1" x="2"/>
        <item x="7"/>
        <item x="18"/>
        <item h="1" x="3"/>
        <item h="1"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numFmtId="2" showAll="0"/>
    <pivotField numFmtId="2" showAll="0"/>
    <pivotField numFmtId="2" showAll="0"/>
    <pivotField dataField="1" numFmtId="43" showAll="0"/>
    <pivotField numFmtId="43" showAll="0"/>
  </pivotFields>
  <rowFields count="1">
    <field x="0"/>
  </rowFields>
  <rowItems count="6">
    <i>
      <x v="16"/>
    </i>
    <i>
      <x v="7"/>
    </i>
    <i>
      <x v="1"/>
    </i>
    <i>
      <x v="12"/>
    </i>
    <i>
      <x v="17"/>
    </i>
    <i t="grand">
      <x/>
    </i>
  </rowItems>
  <colItems count="1">
    <i/>
  </colItems>
  <dataFields count="1">
    <dataField name="Sum of revenue_min_million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FE957-81AA-4B56-B9AD-18B09AE2BA1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7" firstHeaderRow="1" firstDataRow="1" firstDataCol="1"/>
  <pivotFields count="7">
    <pivotField axis="axisRow" showAll="0" sortType="ascending">
      <items count="21">
        <item h="1" x="4"/>
        <item h="1" x="3"/>
        <item h="1" x="12"/>
        <item h="1" x="16"/>
        <item x="1"/>
        <item h="1" x="6"/>
        <item x="18"/>
        <item x="19"/>
        <item x="13"/>
        <item h="1" x="10"/>
        <item h="1" x="5"/>
        <item h="1" x="11"/>
        <item h="1" x="15"/>
        <item h="1" x="14"/>
        <item h="1" x="2"/>
        <item h="1" x="8"/>
        <item h="1" x="9"/>
        <item h="1" x="7"/>
        <item x="0"/>
        <item h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3" showAll="0"/>
    <pivotField numFmtId="43" showAll="0"/>
    <pivotField numFmtId="43" showAll="0"/>
    <pivotField numFmtId="43" showAll="0"/>
    <pivotField numFmtId="43" showAll="0"/>
    <pivotField dataField="1" numFmtId="9" showAll="0"/>
  </pivotFields>
  <rowFields count="1">
    <field x="0"/>
  </rowFields>
  <rowItems count="6">
    <i>
      <x v="7"/>
    </i>
    <i>
      <x v="4"/>
    </i>
    <i>
      <x v="18"/>
    </i>
    <i>
      <x v="8"/>
    </i>
    <i>
      <x v="6"/>
    </i>
    <i t="grand">
      <x/>
    </i>
  </rowItems>
  <colItems count="1">
    <i/>
  </colItems>
  <dataFields count="1">
    <dataField name="Sum of % Change 2018-2022" fld="6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AFD3E0-87DD-4EB2-B29F-F2EDED397803}" name="Table8" displayName="Table8" ref="A1:D21" totalsRowShown="0">
  <autoFilter ref="A1:D21" xr:uid="{DDAFD3E0-87DD-4EB2-B29F-F2EDED397803}"/>
  <tableColumns count="4">
    <tableColumn id="1" xr3:uid="{6F8F5DB6-B3F5-45AF-8651-A820D3EAFA45}" name="Species name" dataDxfId="11"/>
    <tableColumn id="2" xr3:uid="{9361BD00-6997-45CC-A1AC-EF6298DED96F}" name="Range Price per kg" dataDxfId="10"/>
    <tableColumn id="3" xr3:uid="{219FF7C5-010F-4C26-A922-39DB19B98DEA}" name="min_price_kg" dataDxfId="9">
      <calculatedColumnFormula>MID(B2,2,FIND("–",B2)-3)</calculatedColumnFormula>
    </tableColumn>
    <tableColumn id="4" xr3:uid="{373F16D4-193A-4287-8624-AEA31B491328}" name="max_price_kg" dataDxfId="8">
      <calculatedColumnFormula>MID(B2,FIND("–",B2)+3,LEN(B2)-FIND("–",B2)-1)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792AFA-D2EA-4BCB-A195-8493111CC57C}" name="Table5" displayName="Table5" ref="A1:P415" totalsRowShown="0">
  <autoFilter ref="A1:P415" xr:uid="{CE792AFA-D2EA-4BCB-A195-8493111CC57C}"/>
  <tableColumns count="16">
    <tableColumn id="1" xr3:uid="{9BB1DE01-9839-4E6D-8C35-7676AE04D33E}" name="Country (Name)"/>
    <tableColumn id="2" xr3:uid="{616DBCEC-F1C9-464A-96EA-02EBBF444361}" name="ASFIS species (Name)"/>
    <tableColumn id="3" xr3:uid="{C911BD33-97CB-4AB3-ACC4-2A1317AE31A6}" name="FAO major fishing area (Name)"/>
    <tableColumn id="4" xr3:uid="{DDAEEC7F-C9DB-4A2E-AEBF-93E0EE6F84B6}" name="Unit (Name)"/>
    <tableColumn id="5" xr3:uid="{03D7CBB2-A7B3-453E-BA58-5E0F63C36AEA}" name="Unit"/>
    <tableColumn id="6" xr3:uid="{5C633011-B590-4422-9C3D-6176E4877811}" name="[2018]" dataCellStyle="Comma"/>
    <tableColumn id="7" xr3:uid="{C0760796-9265-444C-BE26-D3B7102AC656}" name="S"/>
    <tableColumn id="8" xr3:uid="{408E2475-C007-4924-8C18-BA901A30CA4E}" name="[2019]" dataCellStyle="Comma"/>
    <tableColumn id="9" xr3:uid="{335519CA-1551-456F-9D9A-22C8F49403FE}" name="S2"/>
    <tableColumn id="10" xr3:uid="{F6588137-3B50-4D28-9B8D-A318DDB5E386}" name="[2020]" dataCellStyle="Comma"/>
    <tableColumn id="11" xr3:uid="{26A25932-BF26-4E17-931E-D38FD1CED073}" name="S3"/>
    <tableColumn id="12" xr3:uid="{CC1FAC2A-BE82-4397-962C-E84A30458854}" name="[2021]" dataCellStyle="Comma"/>
    <tableColumn id="13" xr3:uid="{B0C8CD71-E926-4CE7-9972-39D83955B7C3}" name="S4"/>
    <tableColumn id="14" xr3:uid="{AD278C3B-5991-442E-9774-DB5CF95390FD}" name="[2022]" dataCellStyle="Comma"/>
    <tableColumn id="15" xr3:uid="{D2A55740-B57C-4CFA-BDB1-C9330D07D77D}" name="S5"/>
    <tableColumn id="16" xr3:uid="{8119B4A3-8848-44FB-B3CD-E88690E4F506}" name="Total" dataCellStyle="Comma">
      <calculatedColumnFormula>SUM(F2,H2,J2,L2,N2)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EDB2E8-5246-4959-9E9A-1B7092536C7B}" name="Table7" displayName="Table7" ref="I1:O21" totalsRowShown="0" dataDxfId="7" dataCellStyle="Comma">
  <autoFilter ref="I1:O21" xr:uid="{D4EDB2E8-5246-4959-9E9A-1B7092536C7B}"/>
  <sortState xmlns:xlrd2="http://schemas.microsoft.com/office/spreadsheetml/2017/richdata2" ref="I2:O21">
    <sortCondition descending="1" ref="O1:O21"/>
  </sortState>
  <tableColumns count="7">
    <tableColumn id="1" xr3:uid="{424B58D3-1769-461D-B029-A534D310374C}" name="Top20"/>
    <tableColumn id="2" xr3:uid="{F2C2095C-2265-4B1A-A948-A75A5F554375}" name="2018" dataDxfId="6" dataCellStyle="Comma"/>
    <tableColumn id="3" xr3:uid="{442454AB-B8A5-447B-8C7E-FC4E441D52CD}" name="2019" dataDxfId="5" dataCellStyle="Comma"/>
    <tableColumn id="4" xr3:uid="{27384978-7FAC-4C0E-97D0-7AC1C5DB2434}" name="2020" dataDxfId="4" dataCellStyle="Comma"/>
    <tableColumn id="5" xr3:uid="{F15B1657-BB76-49C1-AF05-E27A61DA5D83}" name="2021" dataDxfId="3" dataCellStyle="Comma"/>
    <tableColumn id="6" xr3:uid="{69BC7BC5-58DC-488A-92E6-4CA8D804CE32}" name="2022" dataDxfId="2" dataCellStyle="Comma"/>
    <tableColumn id="7" xr3:uid="{D92AB7DB-959A-47B8-8998-5B4B188151E5}" name="% Change 2018-2022" dataDxfId="1" dataCellStyle="Percent">
      <calculatedColumnFormula>IFERROR((N2 - J2)/J2, (N2 - K2)/K2)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diradinal@outloo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1285-B36C-4DB0-A224-360A6F001859}">
  <dimension ref="A1:G7"/>
  <sheetViews>
    <sheetView showGridLines="0" workbookViewId="0">
      <selection activeCell="I8" sqref="I8"/>
    </sheetView>
  </sheetViews>
  <sheetFormatPr defaultRowHeight="15" x14ac:dyDescent="0.25"/>
  <cols>
    <col min="1" max="1" width="12" bestFit="1" customWidth="1"/>
  </cols>
  <sheetData>
    <row r="1" spans="1:7" x14ac:dyDescent="0.25">
      <c r="A1" s="17" t="s">
        <v>336</v>
      </c>
      <c r="B1" s="17"/>
      <c r="C1" s="17"/>
      <c r="D1" s="17"/>
      <c r="E1" s="17"/>
    </row>
    <row r="3" spans="1:7" x14ac:dyDescent="0.25">
      <c r="A3" s="15" t="s">
        <v>344</v>
      </c>
      <c r="B3" s="15" t="s">
        <v>345</v>
      </c>
      <c r="C3" s="16"/>
      <c r="D3" s="16"/>
      <c r="E3" s="16"/>
      <c r="F3" s="16"/>
      <c r="G3" s="16"/>
    </row>
    <row r="4" spans="1:7" x14ac:dyDescent="0.25">
      <c r="A4" s="15" t="s">
        <v>342</v>
      </c>
      <c r="B4" s="18" t="s">
        <v>343</v>
      </c>
      <c r="C4" s="18"/>
      <c r="D4" s="18"/>
      <c r="E4" s="16"/>
      <c r="F4" s="16"/>
      <c r="G4" s="16"/>
    </row>
    <row r="5" spans="1:7" x14ac:dyDescent="0.25">
      <c r="A5" s="15" t="s">
        <v>340</v>
      </c>
      <c r="B5" s="20" t="s">
        <v>341</v>
      </c>
      <c r="C5" s="16"/>
      <c r="D5" s="16"/>
      <c r="E5" s="16"/>
      <c r="F5" s="16"/>
      <c r="G5" s="16"/>
    </row>
    <row r="6" spans="1:7" x14ac:dyDescent="0.25">
      <c r="A6" s="15" t="s">
        <v>339</v>
      </c>
      <c r="B6" s="16" t="s">
        <v>338</v>
      </c>
      <c r="C6" s="16"/>
      <c r="D6" s="16"/>
      <c r="E6" s="16"/>
      <c r="F6" s="16"/>
      <c r="G6" s="16"/>
    </row>
    <row r="7" spans="1:7" x14ac:dyDescent="0.25">
      <c r="A7" s="15" t="s">
        <v>337</v>
      </c>
      <c r="B7" t="s">
        <v>356</v>
      </c>
    </row>
  </sheetData>
  <sheetProtection algorithmName="SHA-512" hashValue="xYAOYfHxjO7lIhumuY3jIq5juvPiU4LZwyT0VaWF5TMEiNcCRk7F6ffjpyKgkoglYn0U3dq78OOWXdqHwuQtEQ==" saltValue="qhkPTEBMAxWjmC2+f9Q3GA==" spinCount="100000" sheet="1" objects="1" scenarios="1"/>
  <mergeCells count="2">
    <mergeCell ref="A1:E1"/>
    <mergeCell ref="B4:D4"/>
  </mergeCells>
  <hyperlinks>
    <hyperlink ref="B5" r:id="rId1" display="radiradinal@outlook.com" xr:uid="{2ED9ADFF-AD38-4D80-9C65-BEED201B0CB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A352-258D-4C11-9194-A04E4E60D9DA}">
  <dimension ref="A1:O440"/>
  <sheetViews>
    <sheetView topLeftCell="A390" workbookViewId="0">
      <selection activeCell="B434" sqref="B434"/>
    </sheetView>
  </sheetViews>
  <sheetFormatPr defaultRowHeight="15" x14ac:dyDescent="0.25"/>
  <cols>
    <col min="1" max="3" width="26.85546875" customWidth="1"/>
    <col min="4" max="4" width="20.7109375" customWidth="1"/>
    <col min="5" max="5" width="17.5703125" customWidth="1"/>
    <col min="6" max="6" width="17.140625" customWidth="1"/>
    <col min="7" max="7" width="2.7109375" bestFit="1" customWidth="1"/>
    <col min="9" max="9" width="2.7109375" bestFit="1" customWidth="1"/>
    <col min="10" max="10" width="11" bestFit="1" customWidth="1"/>
    <col min="11" max="11" width="2.7109375" bestFit="1" customWidth="1"/>
    <col min="12" max="12" width="11" bestFit="1" customWidth="1"/>
    <col min="13" max="13" width="2.7109375" bestFit="1" customWidth="1"/>
    <col min="14" max="14" width="26.85546875" customWidth="1"/>
    <col min="15" max="15" width="2.7109375" bestFit="1" customWidth="1"/>
    <col min="17" max="17" width="28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  <c r="J1" t="s">
        <v>8</v>
      </c>
      <c r="K1" t="s">
        <v>6</v>
      </c>
      <c r="L1" t="s">
        <v>9</v>
      </c>
      <c r="M1" t="s">
        <v>6</v>
      </c>
      <c r="N1" t="s">
        <v>10</v>
      </c>
      <c r="O1" t="s">
        <v>6</v>
      </c>
    </row>
    <row r="2" spans="1:15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310.97000000000003</v>
      </c>
      <c r="H2">
        <v>624.25</v>
      </c>
      <c r="J2">
        <v>1152.5899999999999</v>
      </c>
      <c r="L2">
        <v>1163.6199999999999</v>
      </c>
      <c r="N2">
        <v>1104.2</v>
      </c>
    </row>
    <row r="3" spans="1:15" x14ac:dyDescent="0.25">
      <c r="A3" t="s">
        <v>11</v>
      </c>
      <c r="B3" t="s">
        <v>16</v>
      </c>
      <c r="C3" t="s">
        <v>13</v>
      </c>
      <c r="D3" t="s">
        <v>14</v>
      </c>
      <c r="E3" t="s">
        <v>15</v>
      </c>
      <c r="F3">
        <v>375.07</v>
      </c>
      <c r="H3">
        <v>1821.24</v>
      </c>
      <c r="J3">
        <v>3547.79</v>
      </c>
      <c r="L3">
        <v>3169.49</v>
      </c>
      <c r="N3">
        <v>4617.3500000000004</v>
      </c>
    </row>
    <row r="4" spans="1:15" x14ac:dyDescent="0.25">
      <c r="A4" t="s">
        <v>11</v>
      </c>
      <c r="B4" t="s">
        <v>17</v>
      </c>
      <c r="C4" t="s">
        <v>13</v>
      </c>
      <c r="D4" t="s">
        <v>14</v>
      </c>
      <c r="E4" t="s">
        <v>15</v>
      </c>
      <c r="F4">
        <v>25.12</v>
      </c>
      <c r="H4">
        <v>917.88</v>
      </c>
      <c r="J4">
        <v>937.6</v>
      </c>
      <c r="L4">
        <v>486.85</v>
      </c>
      <c r="N4">
        <v>327.2</v>
      </c>
    </row>
    <row r="5" spans="1:15" x14ac:dyDescent="0.25">
      <c r="A5" t="s">
        <v>11</v>
      </c>
      <c r="B5" t="s">
        <v>18</v>
      </c>
      <c r="C5" t="s">
        <v>13</v>
      </c>
      <c r="D5" t="s">
        <v>14</v>
      </c>
      <c r="E5" t="s">
        <v>15</v>
      </c>
      <c r="F5">
        <v>0</v>
      </c>
      <c r="G5" t="s">
        <v>19</v>
      </c>
      <c r="H5">
        <v>14705.2</v>
      </c>
      <c r="J5">
        <v>11865.38</v>
      </c>
      <c r="L5">
        <v>10433.33</v>
      </c>
      <c r="N5">
        <v>12595.14</v>
      </c>
    </row>
    <row r="6" spans="1:15" x14ac:dyDescent="0.25">
      <c r="A6" t="s">
        <v>11</v>
      </c>
      <c r="B6" t="s">
        <v>20</v>
      </c>
      <c r="C6" t="s">
        <v>13</v>
      </c>
      <c r="D6" t="s">
        <v>14</v>
      </c>
      <c r="E6" t="s">
        <v>15</v>
      </c>
      <c r="F6">
        <v>4.8899999999999997</v>
      </c>
      <c r="H6">
        <v>0</v>
      </c>
      <c r="I6" t="s">
        <v>19</v>
      </c>
      <c r="J6">
        <v>0</v>
      </c>
      <c r="K6" t="s">
        <v>19</v>
      </c>
      <c r="L6">
        <v>0</v>
      </c>
      <c r="M6" t="s">
        <v>19</v>
      </c>
      <c r="N6">
        <v>0</v>
      </c>
      <c r="O6" t="s">
        <v>19</v>
      </c>
    </row>
    <row r="7" spans="1:15" x14ac:dyDescent="0.25">
      <c r="A7" t="s">
        <v>11</v>
      </c>
      <c r="B7" t="s">
        <v>21</v>
      </c>
      <c r="C7" t="s">
        <v>13</v>
      </c>
      <c r="D7" t="s">
        <v>14</v>
      </c>
      <c r="E7" t="s">
        <v>15</v>
      </c>
      <c r="F7">
        <v>26736.880000000001</v>
      </c>
      <c r="H7">
        <v>7849.75</v>
      </c>
      <c r="J7">
        <v>4490.87</v>
      </c>
      <c r="L7">
        <v>7999.47</v>
      </c>
      <c r="N7">
        <v>9113.14</v>
      </c>
    </row>
    <row r="8" spans="1:15" x14ac:dyDescent="0.25">
      <c r="A8" t="s">
        <v>11</v>
      </c>
      <c r="B8" t="s">
        <v>22</v>
      </c>
      <c r="C8" t="s">
        <v>13</v>
      </c>
      <c r="D8" t="s">
        <v>14</v>
      </c>
      <c r="E8" t="s">
        <v>15</v>
      </c>
      <c r="F8">
        <v>5005.33</v>
      </c>
      <c r="H8">
        <v>8352.36</v>
      </c>
      <c r="J8">
        <v>8579.9599999999991</v>
      </c>
      <c r="L8">
        <v>5271.77</v>
      </c>
      <c r="N8">
        <v>5384.96</v>
      </c>
    </row>
    <row r="9" spans="1:15" x14ac:dyDescent="0.25">
      <c r="A9" t="s">
        <v>11</v>
      </c>
      <c r="B9" t="s">
        <v>23</v>
      </c>
      <c r="C9" t="s">
        <v>13</v>
      </c>
      <c r="D9" t="s">
        <v>14</v>
      </c>
      <c r="E9" t="s">
        <v>15</v>
      </c>
      <c r="F9">
        <v>839.07</v>
      </c>
      <c r="H9">
        <v>367.16</v>
      </c>
      <c r="J9">
        <v>848.89</v>
      </c>
      <c r="L9">
        <v>1114.73</v>
      </c>
      <c r="N9">
        <v>1636.89</v>
      </c>
    </row>
    <row r="10" spans="1:15" x14ac:dyDescent="0.25">
      <c r="A10" t="s">
        <v>11</v>
      </c>
      <c r="B10" t="s">
        <v>24</v>
      </c>
      <c r="C10" t="s">
        <v>25</v>
      </c>
      <c r="D10" t="s">
        <v>14</v>
      </c>
      <c r="E10" t="s">
        <v>15</v>
      </c>
      <c r="F10">
        <v>0</v>
      </c>
      <c r="G10" t="s">
        <v>19</v>
      </c>
      <c r="H10">
        <v>75.09</v>
      </c>
      <c r="J10">
        <v>43.69</v>
      </c>
      <c r="L10">
        <v>68.91</v>
      </c>
      <c r="N10">
        <v>91.13</v>
      </c>
    </row>
    <row r="11" spans="1:15" x14ac:dyDescent="0.25">
      <c r="A11" t="s">
        <v>11</v>
      </c>
      <c r="B11" t="s">
        <v>26</v>
      </c>
      <c r="C11" t="s">
        <v>25</v>
      </c>
      <c r="D11" t="s">
        <v>14</v>
      </c>
      <c r="E11" t="s">
        <v>15</v>
      </c>
      <c r="F11">
        <v>0</v>
      </c>
      <c r="G11" t="s">
        <v>19</v>
      </c>
      <c r="H11">
        <v>8282.94</v>
      </c>
      <c r="J11">
        <v>4309.66</v>
      </c>
      <c r="L11">
        <v>1367.73</v>
      </c>
      <c r="N11">
        <v>1782.86</v>
      </c>
    </row>
    <row r="12" spans="1:15" x14ac:dyDescent="0.25">
      <c r="A12" t="s">
        <v>11</v>
      </c>
      <c r="B12" t="s">
        <v>27</v>
      </c>
      <c r="C12" t="s">
        <v>25</v>
      </c>
      <c r="D12" t="s">
        <v>14</v>
      </c>
      <c r="E12" t="s">
        <v>15</v>
      </c>
      <c r="F12">
        <v>0</v>
      </c>
      <c r="G12" t="s">
        <v>19</v>
      </c>
      <c r="H12">
        <v>267.13</v>
      </c>
      <c r="J12">
        <v>796.34</v>
      </c>
      <c r="L12">
        <v>765</v>
      </c>
      <c r="N12">
        <v>916.98</v>
      </c>
    </row>
    <row r="13" spans="1:15" x14ac:dyDescent="0.25">
      <c r="A13" t="s">
        <v>11</v>
      </c>
      <c r="B13" t="s">
        <v>24</v>
      </c>
      <c r="C13" t="s">
        <v>28</v>
      </c>
      <c r="D13" t="s">
        <v>14</v>
      </c>
      <c r="E13" t="s">
        <v>15</v>
      </c>
      <c r="F13">
        <v>0</v>
      </c>
      <c r="G13" t="s">
        <v>19</v>
      </c>
      <c r="H13">
        <v>172.78</v>
      </c>
      <c r="J13">
        <v>135.99</v>
      </c>
      <c r="L13">
        <v>134.34</v>
      </c>
      <c r="N13">
        <v>143.30000000000001</v>
      </c>
    </row>
    <row r="14" spans="1:15" x14ac:dyDescent="0.25">
      <c r="A14" t="s">
        <v>11</v>
      </c>
      <c r="B14" t="s">
        <v>26</v>
      </c>
      <c r="C14" t="s">
        <v>28</v>
      </c>
      <c r="D14" t="s">
        <v>14</v>
      </c>
      <c r="E14" t="s">
        <v>15</v>
      </c>
      <c r="F14">
        <v>0</v>
      </c>
      <c r="G14" t="s">
        <v>19</v>
      </c>
      <c r="H14">
        <v>41663.08</v>
      </c>
      <c r="J14">
        <v>41531.050000000003</v>
      </c>
      <c r="L14">
        <v>55136.800000000003</v>
      </c>
      <c r="N14">
        <v>45348.56</v>
      </c>
    </row>
    <row r="15" spans="1:15" x14ac:dyDescent="0.25">
      <c r="A15" t="s">
        <v>11</v>
      </c>
      <c r="B15" t="s">
        <v>27</v>
      </c>
      <c r="C15" t="s">
        <v>28</v>
      </c>
      <c r="D15" t="s">
        <v>14</v>
      </c>
      <c r="E15" t="s">
        <v>15</v>
      </c>
      <c r="F15">
        <v>0</v>
      </c>
      <c r="G15" t="s">
        <v>19</v>
      </c>
      <c r="H15">
        <v>14444.01</v>
      </c>
      <c r="J15">
        <v>16016.36</v>
      </c>
      <c r="L15">
        <v>20437.02</v>
      </c>
      <c r="N15">
        <v>14565.8</v>
      </c>
    </row>
    <row r="16" spans="1:15" x14ac:dyDescent="0.25">
      <c r="A16" t="s">
        <v>11</v>
      </c>
      <c r="B16" t="s">
        <v>29</v>
      </c>
      <c r="C16" t="s">
        <v>25</v>
      </c>
      <c r="D16" t="s">
        <v>14</v>
      </c>
      <c r="E16" t="s">
        <v>15</v>
      </c>
      <c r="F16">
        <v>0</v>
      </c>
      <c r="G16" t="s">
        <v>19</v>
      </c>
      <c r="H16">
        <v>0</v>
      </c>
      <c r="I16" t="s">
        <v>19</v>
      </c>
      <c r="J16">
        <v>0</v>
      </c>
      <c r="K16" t="s">
        <v>19</v>
      </c>
      <c r="L16">
        <v>0</v>
      </c>
      <c r="M16" t="s">
        <v>19</v>
      </c>
      <c r="N16">
        <v>0</v>
      </c>
      <c r="O16" t="s">
        <v>19</v>
      </c>
    </row>
    <row r="17" spans="1:15" x14ac:dyDescent="0.25">
      <c r="A17" t="s">
        <v>11</v>
      </c>
      <c r="B17" t="s">
        <v>30</v>
      </c>
      <c r="C17" t="s">
        <v>25</v>
      </c>
      <c r="D17" t="s">
        <v>14</v>
      </c>
      <c r="E17" t="s">
        <v>15</v>
      </c>
      <c r="F17">
        <v>5604.51</v>
      </c>
      <c r="H17">
        <v>6477.73</v>
      </c>
      <c r="J17">
        <v>10568.59</v>
      </c>
      <c r="L17">
        <v>8896.48</v>
      </c>
      <c r="N17">
        <v>13153.82</v>
      </c>
    </row>
    <row r="18" spans="1:15" x14ac:dyDescent="0.25">
      <c r="A18" t="s">
        <v>11</v>
      </c>
      <c r="B18" t="s">
        <v>30</v>
      </c>
      <c r="C18" t="s">
        <v>28</v>
      </c>
      <c r="D18" t="s">
        <v>14</v>
      </c>
      <c r="E18" t="s">
        <v>15</v>
      </c>
      <c r="F18">
        <v>257</v>
      </c>
      <c r="H18">
        <v>21</v>
      </c>
      <c r="J18">
        <v>168</v>
      </c>
      <c r="L18">
        <v>87</v>
      </c>
      <c r="N18">
        <v>84</v>
      </c>
    </row>
    <row r="19" spans="1:15" x14ac:dyDescent="0.25">
      <c r="A19" t="s">
        <v>11</v>
      </c>
      <c r="B19" t="s">
        <v>31</v>
      </c>
      <c r="C19" t="s">
        <v>25</v>
      </c>
      <c r="D19" t="s">
        <v>14</v>
      </c>
      <c r="E19" t="s">
        <v>15</v>
      </c>
      <c r="F19">
        <v>0</v>
      </c>
      <c r="G19" t="s">
        <v>19</v>
      </c>
      <c r="H19">
        <v>32492.23</v>
      </c>
      <c r="J19">
        <v>28168.29</v>
      </c>
      <c r="L19">
        <v>24466.91</v>
      </c>
      <c r="N19">
        <v>23501.35</v>
      </c>
    </row>
    <row r="20" spans="1:15" x14ac:dyDescent="0.25">
      <c r="A20" t="s">
        <v>11</v>
      </c>
      <c r="B20" t="s">
        <v>31</v>
      </c>
      <c r="C20" t="s">
        <v>28</v>
      </c>
      <c r="D20" t="s">
        <v>14</v>
      </c>
      <c r="E20" t="s">
        <v>15</v>
      </c>
      <c r="F20">
        <v>0</v>
      </c>
      <c r="G20" t="s">
        <v>19</v>
      </c>
      <c r="H20">
        <v>166228.18</v>
      </c>
      <c r="J20">
        <v>112498.79</v>
      </c>
      <c r="L20">
        <v>102356.52</v>
      </c>
      <c r="N20">
        <v>99724.33</v>
      </c>
    </row>
    <row r="21" spans="1:15" x14ac:dyDescent="0.25">
      <c r="A21" t="s">
        <v>11</v>
      </c>
      <c r="B21" t="s">
        <v>32</v>
      </c>
      <c r="C21" t="s">
        <v>13</v>
      </c>
      <c r="D21" t="s">
        <v>14</v>
      </c>
      <c r="E21" t="s">
        <v>15</v>
      </c>
      <c r="F21">
        <v>800</v>
      </c>
      <c r="G21" t="s">
        <v>33</v>
      </c>
      <c r="H21">
        <v>800</v>
      </c>
      <c r="I21" t="s">
        <v>33</v>
      </c>
      <c r="J21">
        <v>600</v>
      </c>
      <c r="K21" t="s">
        <v>33</v>
      </c>
      <c r="L21">
        <v>800</v>
      </c>
      <c r="M21" t="s">
        <v>33</v>
      </c>
      <c r="N21">
        <v>850</v>
      </c>
      <c r="O21" t="s">
        <v>33</v>
      </c>
    </row>
    <row r="22" spans="1:15" x14ac:dyDescent="0.25">
      <c r="A22" t="s">
        <v>11</v>
      </c>
      <c r="B22" t="s">
        <v>32</v>
      </c>
      <c r="C22" t="s">
        <v>25</v>
      </c>
      <c r="D22" t="s">
        <v>14</v>
      </c>
      <c r="E22" t="s">
        <v>15</v>
      </c>
      <c r="F22">
        <v>20000</v>
      </c>
      <c r="G22" t="s">
        <v>33</v>
      </c>
      <c r="H22">
        <v>18000</v>
      </c>
      <c r="I22" t="s">
        <v>33</v>
      </c>
      <c r="J22">
        <v>15000</v>
      </c>
      <c r="K22" t="s">
        <v>33</v>
      </c>
      <c r="L22">
        <v>10000</v>
      </c>
      <c r="M22" t="s">
        <v>33</v>
      </c>
      <c r="N22">
        <v>13000</v>
      </c>
      <c r="O22" t="s">
        <v>33</v>
      </c>
    </row>
    <row r="23" spans="1:15" x14ac:dyDescent="0.25">
      <c r="A23" t="s">
        <v>11</v>
      </c>
      <c r="B23" t="s">
        <v>32</v>
      </c>
      <c r="C23" t="s">
        <v>28</v>
      </c>
      <c r="D23" t="s">
        <v>14</v>
      </c>
      <c r="E23" t="s">
        <v>15</v>
      </c>
      <c r="F23">
        <v>30000</v>
      </c>
      <c r="G23" t="s">
        <v>33</v>
      </c>
      <c r="H23">
        <v>25000</v>
      </c>
      <c r="I23" t="s">
        <v>33</v>
      </c>
      <c r="J23">
        <v>20000</v>
      </c>
      <c r="K23" t="s">
        <v>33</v>
      </c>
      <c r="L23">
        <v>19000</v>
      </c>
      <c r="M23" t="s">
        <v>33</v>
      </c>
      <c r="N23">
        <v>22000</v>
      </c>
      <c r="O23" t="s">
        <v>33</v>
      </c>
    </row>
    <row r="24" spans="1:15" x14ac:dyDescent="0.25">
      <c r="A24" t="s">
        <v>11</v>
      </c>
      <c r="B24" t="s">
        <v>34</v>
      </c>
      <c r="C24" t="s">
        <v>13</v>
      </c>
      <c r="D24" t="s">
        <v>14</v>
      </c>
      <c r="E24" t="s">
        <v>15</v>
      </c>
      <c r="F24">
        <v>0</v>
      </c>
      <c r="G24" t="s">
        <v>19</v>
      </c>
      <c r="H24">
        <v>0</v>
      </c>
      <c r="I24" t="s">
        <v>19</v>
      </c>
      <c r="J24">
        <v>0</v>
      </c>
      <c r="K24" t="s">
        <v>19</v>
      </c>
      <c r="L24">
        <v>0</v>
      </c>
      <c r="M24" t="s">
        <v>19</v>
      </c>
      <c r="N24">
        <v>0</v>
      </c>
      <c r="O24" t="s">
        <v>19</v>
      </c>
    </row>
    <row r="25" spans="1:15" x14ac:dyDescent="0.25">
      <c r="A25" t="s">
        <v>11</v>
      </c>
      <c r="B25" t="s">
        <v>35</v>
      </c>
      <c r="C25" t="s">
        <v>13</v>
      </c>
      <c r="D25" t="s">
        <v>14</v>
      </c>
      <c r="E25" t="s">
        <v>15</v>
      </c>
      <c r="F25">
        <v>37723.699999999997</v>
      </c>
      <c r="H25">
        <v>31724.92</v>
      </c>
      <c r="J25">
        <v>18376.43</v>
      </c>
      <c r="L25">
        <v>22503.040000000001</v>
      </c>
      <c r="N25">
        <v>18030.09</v>
      </c>
    </row>
    <row r="26" spans="1:15" x14ac:dyDescent="0.25">
      <c r="A26" t="s">
        <v>11</v>
      </c>
      <c r="B26" t="s">
        <v>36</v>
      </c>
      <c r="C26" t="s">
        <v>13</v>
      </c>
      <c r="D26" t="s">
        <v>14</v>
      </c>
      <c r="E26" t="s">
        <v>15</v>
      </c>
      <c r="F26">
        <v>0</v>
      </c>
      <c r="G26" t="s">
        <v>19</v>
      </c>
      <c r="H26">
        <v>3573.39</v>
      </c>
      <c r="J26">
        <v>3658.11</v>
      </c>
      <c r="L26">
        <v>3584.18</v>
      </c>
      <c r="N26">
        <v>3924.95</v>
      </c>
    </row>
    <row r="27" spans="1:15" x14ac:dyDescent="0.25">
      <c r="A27" t="s">
        <v>11</v>
      </c>
      <c r="B27" t="s">
        <v>37</v>
      </c>
      <c r="C27" t="s">
        <v>25</v>
      </c>
      <c r="D27" t="s">
        <v>14</v>
      </c>
      <c r="E27" t="s">
        <v>15</v>
      </c>
      <c r="F27">
        <v>0</v>
      </c>
      <c r="G27" t="s">
        <v>19</v>
      </c>
      <c r="H27">
        <v>226.38</v>
      </c>
      <c r="J27">
        <v>588.02</v>
      </c>
      <c r="L27">
        <v>670.67</v>
      </c>
      <c r="N27">
        <v>684.77</v>
      </c>
    </row>
    <row r="28" spans="1:15" x14ac:dyDescent="0.25">
      <c r="A28" t="s">
        <v>11</v>
      </c>
      <c r="B28" t="s">
        <v>38</v>
      </c>
      <c r="C28" t="s">
        <v>25</v>
      </c>
      <c r="D28" t="s">
        <v>14</v>
      </c>
      <c r="E28" t="s">
        <v>15</v>
      </c>
      <c r="F28">
        <v>15038.6</v>
      </c>
      <c r="H28">
        <v>79733.17</v>
      </c>
      <c r="J28">
        <v>33516.36</v>
      </c>
      <c r="L28">
        <v>47220.33</v>
      </c>
      <c r="N28">
        <v>32499.56</v>
      </c>
    </row>
    <row r="29" spans="1:15" x14ac:dyDescent="0.25">
      <c r="A29" t="s">
        <v>11</v>
      </c>
      <c r="B29" t="s">
        <v>38</v>
      </c>
      <c r="C29" t="s">
        <v>28</v>
      </c>
      <c r="D29" t="s">
        <v>14</v>
      </c>
      <c r="E29" t="s">
        <v>15</v>
      </c>
      <c r="F29">
        <v>35960.6</v>
      </c>
      <c r="H29">
        <v>10284.6</v>
      </c>
      <c r="J29">
        <v>1273.08</v>
      </c>
      <c r="L29">
        <v>8455.09</v>
      </c>
      <c r="N29">
        <v>20511.3</v>
      </c>
    </row>
    <row r="30" spans="1:15" x14ac:dyDescent="0.25">
      <c r="A30" t="s">
        <v>11</v>
      </c>
      <c r="B30" t="s">
        <v>39</v>
      </c>
      <c r="C30" t="s">
        <v>25</v>
      </c>
      <c r="D30" t="s">
        <v>14</v>
      </c>
      <c r="E30" t="s">
        <v>15</v>
      </c>
      <c r="F30">
        <v>17265.78</v>
      </c>
      <c r="H30">
        <v>10298.39</v>
      </c>
      <c r="J30">
        <v>6939.36</v>
      </c>
      <c r="L30">
        <v>10610.5</v>
      </c>
      <c r="N30">
        <v>8799.2199999999993</v>
      </c>
    </row>
    <row r="31" spans="1:15" x14ac:dyDescent="0.25">
      <c r="A31" t="s">
        <v>11</v>
      </c>
      <c r="B31" t="s">
        <v>39</v>
      </c>
      <c r="C31" t="s">
        <v>28</v>
      </c>
      <c r="D31" t="s">
        <v>14</v>
      </c>
      <c r="E31" t="s">
        <v>15</v>
      </c>
      <c r="F31">
        <v>46809.35</v>
      </c>
      <c r="H31">
        <v>22897.06</v>
      </c>
      <c r="J31">
        <v>15326.01</v>
      </c>
      <c r="L31">
        <v>17345.02</v>
      </c>
      <c r="N31">
        <v>26539.200000000001</v>
      </c>
    </row>
    <row r="32" spans="1:15" x14ac:dyDescent="0.25">
      <c r="A32" t="s">
        <v>11</v>
      </c>
      <c r="B32" t="s">
        <v>40</v>
      </c>
      <c r="C32" t="s">
        <v>13</v>
      </c>
      <c r="D32" t="s">
        <v>14</v>
      </c>
      <c r="E32" t="s">
        <v>15</v>
      </c>
      <c r="F32">
        <v>0</v>
      </c>
      <c r="G32" t="s">
        <v>19</v>
      </c>
      <c r="H32">
        <v>33.42</v>
      </c>
      <c r="J32">
        <v>3.55</v>
      </c>
      <c r="L32">
        <v>0.6</v>
      </c>
      <c r="N32">
        <v>0.02</v>
      </c>
    </row>
    <row r="33" spans="1:14" x14ac:dyDescent="0.25">
      <c r="A33" t="s">
        <v>11</v>
      </c>
      <c r="B33" t="s">
        <v>41</v>
      </c>
      <c r="C33" t="s">
        <v>25</v>
      </c>
      <c r="D33" t="s">
        <v>14</v>
      </c>
      <c r="E33" t="s">
        <v>15</v>
      </c>
      <c r="F33">
        <v>0</v>
      </c>
      <c r="G33" t="s">
        <v>19</v>
      </c>
      <c r="H33">
        <v>10216.31</v>
      </c>
      <c r="J33">
        <v>12964.78</v>
      </c>
      <c r="L33">
        <v>14752.3</v>
      </c>
      <c r="N33">
        <v>14000.23</v>
      </c>
    </row>
    <row r="34" spans="1:14" x14ac:dyDescent="0.25">
      <c r="A34" t="s">
        <v>11</v>
      </c>
      <c r="B34" t="s">
        <v>41</v>
      </c>
      <c r="C34" t="s">
        <v>28</v>
      </c>
      <c r="D34" t="s">
        <v>14</v>
      </c>
      <c r="E34" t="s">
        <v>15</v>
      </c>
      <c r="F34">
        <v>0</v>
      </c>
      <c r="G34" t="s">
        <v>19</v>
      </c>
      <c r="H34">
        <v>22127.95</v>
      </c>
      <c r="J34">
        <v>24667.66</v>
      </c>
      <c r="L34">
        <v>23042.31</v>
      </c>
      <c r="N34">
        <v>22525.87</v>
      </c>
    </row>
    <row r="35" spans="1:14" x14ac:dyDescent="0.25">
      <c r="A35" t="s">
        <v>11</v>
      </c>
      <c r="B35" t="s">
        <v>42</v>
      </c>
      <c r="C35" t="s">
        <v>25</v>
      </c>
      <c r="D35" t="s">
        <v>14</v>
      </c>
      <c r="E35" t="s">
        <v>15</v>
      </c>
      <c r="F35">
        <v>0</v>
      </c>
      <c r="G35" t="s">
        <v>19</v>
      </c>
      <c r="H35">
        <v>1888.46</v>
      </c>
      <c r="J35">
        <v>1963.79</v>
      </c>
      <c r="L35">
        <v>13171.64</v>
      </c>
      <c r="N35">
        <v>2770.63</v>
      </c>
    </row>
    <row r="36" spans="1:14" x14ac:dyDescent="0.25">
      <c r="A36" t="s">
        <v>11</v>
      </c>
      <c r="B36" t="s">
        <v>42</v>
      </c>
      <c r="C36" t="s">
        <v>28</v>
      </c>
      <c r="D36" t="s">
        <v>14</v>
      </c>
      <c r="E36" t="s">
        <v>15</v>
      </c>
      <c r="F36">
        <v>0</v>
      </c>
      <c r="G36" t="s">
        <v>19</v>
      </c>
      <c r="H36">
        <v>5872.69</v>
      </c>
      <c r="J36">
        <v>8580.51</v>
      </c>
      <c r="L36">
        <v>6111.72</v>
      </c>
      <c r="N36">
        <v>4357.41</v>
      </c>
    </row>
    <row r="37" spans="1:14" x14ac:dyDescent="0.25">
      <c r="A37" t="s">
        <v>11</v>
      </c>
      <c r="B37" t="s">
        <v>43</v>
      </c>
      <c r="C37" t="s">
        <v>13</v>
      </c>
      <c r="D37" t="s">
        <v>14</v>
      </c>
      <c r="E37" t="s">
        <v>15</v>
      </c>
      <c r="F37">
        <v>0</v>
      </c>
      <c r="G37" t="s">
        <v>19</v>
      </c>
      <c r="H37">
        <v>466.77</v>
      </c>
      <c r="J37">
        <v>478.49</v>
      </c>
      <c r="L37">
        <v>616.88</v>
      </c>
      <c r="N37">
        <v>323.33999999999997</v>
      </c>
    </row>
    <row r="38" spans="1:14" x14ac:dyDescent="0.25">
      <c r="A38" t="s">
        <v>11</v>
      </c>
      <c r="B38" t="s">
        <v>43</v>
      </c>
      <c r="C38" t="s">
        <v>25</v>
      </c>
      <c r="D38" t="s">
        <v>14</v>
      </c>
      <c r="E38" t="s">
        <v>15</v>
      </c>
      <c r="F38">
        <v>6000</v>
      </c>
      <c r="G38" t="s">
        <v>33</v>
      </c>
      <c r="H38">
        <v>5133.8599999999997</v>
      </c>
      <c r="J38">
        <v>4772.6400000000003</v>
      </c>
      <c r="L38">
        <v>4225.49</v>
      </c>
      <c r="N38">
        <v>5612.35</v>
      </c>
    </row>
    <row r="39" spans="1:14" x14ac:dyDescent="0.25">
      <c r="A39" t="s">
        <v>11</v>
      </c>
      <c r="B39" t="s">
        <v>43</v>
      </c>
      <c r="C39" t="s">
        <v>28</v>
      </c>
      <c r="D39" t="s">
        <v>14</v>
      </c>
      <c r="E39" t="s">
        <v>15</v>
      </c>
      <c r="F39">
        <v>40000</v>
      </c>
      <c r="G39" t="s">
        <v>33</v>
      </c>
      <c r="H39">
        <v>31264.880000000001</v>
      </c>
      <c r="J39">
        <v>29439.8</v>
      </c>
      <c r="L39">
        <v>32160.880000000001</v>
      </c>
      <c r="N39">
        <v>33351.26</v>
      </c>
    </row>
    <row r="40" spans="1:14" x14ac:dyDescent="0.25">
      <c r="A40" t="s">
        <v>11</v>
      </c>
      <c r="B40" t="s">
        <v>44</v>
      </c>
      <c r="C40" t="s">
        <v>13</v>
      </c>
      <c r="D40" t="s">
        <v>14</v>
      </c>
      <c r="E40" t="s">
        <v>15</v>
      </c>
      <c r="F40">
        <v>648.89</v>
      </c>
      <c r="H40">
        <v>226.38</v>
      </c>
      <c r="J40">
        <v>438.77</v>
      </c>
      <c r="L40">
        <v>484.03</v>
      </c>
      <c r="N40">
        <v>1034.77</v>
      </c>
    </row>
    <row r="41" spans="1:14" x14ac:dyDescent="0.25">
      <c r="A41" t="s">
        <v>11</v>
      </c>
      <c r="B41" t="s">
        <v>45</v>
      </c>
      <c r="C41" t="s">
        <v>28</v>
      </c>
      <c r="D41" t="s">
        <v>14</v>
      </c>
      <c r="E41" t="s">
        <v>15</v>
      </c>
      <c r="F41">
        <v>0</v>
      </c>
      <c r="G41" t="s">
        <v>19</v>
      </c>
      <c r="H41">
        <v>2123.7199999999998</v>
      </c>
      <c r="J41">
        <v>4508.72</v>
      </c>
      <c r="L41">
        <v>3465.43</v>
      </c>
      <c r="N41">
        <v>4788.03</v>
      </c>
    </row>
    <row r="42" spans="1:14" x14ac:dyDescent="0.25">
      <c r="A42" t="s">
        <v>11</v>
      </c>
      <c r="B42" t="s">
        <v>46</v>
      </c>
      <c r="C42" t="s">
        <v>25</v>
      </c>
      <c r="D42" t="s">
        <v>14</v>
      </c>
      <c r="E42" t="s">
        <v>15</v>
      </c>
      <c r="F42">
        <v>5576.66</v>
      </c>
      <c r="H42">
        <v>13767.12</v>
      </c>
      <c r="J42">
        <v>11005.64</v>
      </c>
      <c r="L42">
        <v>9626.74</v>
      </c>
      <c r="N42">
        <v>8990.75</v>
      </c>
    </row>
    <row r="43" spans="1:14" x14ac:dyDescent="0.25">
      <c r="A43" t="s">
        <v>11</v>
      </c>
      <c r="B43" t="s">
        <v>46</v>
      </c>
      <c r="C43" t="s">
        <v>28</v>
      </c>
      <c r="D43" t="s">
        <v>14</v>
      </c>
      <c r="E43" t="s">
        <v>15</v>
      </c>
      <c r="F43">
        <v>22621.7</v>
      </c>
      <c r="H43">
        <v>47259.38</v>
      </c>
      <c r="J43">
        <v>45368.66</v>
      </c>
      <c r="L43">
        <v>49123.29</v>
      </c>
      <c r="N43">
        <v>44963.66</v>
      </c>
    </row>
    <row r="44" spans="1:14" x14ac:dyDescent="0.25">
      <c r="A44" t="s">
        <v>11</v>
      </c>
      <c r="B44" t="s">
        <v>47</v>
      </c>
      <c r="C44" t="s">
        <v>25</v>
      </c>
      <c r="D44" t="s">
        <v>14</v>
      </c>
      <c r="E44" t="s">
        <v>15</v>
      </c>
      <c r="F44">
        <v>20184.990000000002</v>
      </c>
      <c r="H44">
        <v>18315.759999999998</v>
      </c>
      <c r="J44">
        <v>24105.93</v>
      </c>
      <c r="L44">
        <v>19590.54</v>
      </c>
      <c r="N44">
        <v>33126.589999999997</v>
      </c>
    </row>
    <row r="45" spans="1:14" x14ac:dyDescent="0.25">
      <c r="A45" t="s">
        <v>11</v>
      </c>
      <c r="B45" t="s">
        <v>47</v>
      </c>
      <c r="C45" t="s">
        <v>28</v>
      </c>
      <c r="D45" t="s">
        <v>14</v>
      </c>
      <c r="E45" t="s">
        <v>15</v>
      </c>
      <c r="F45">
        <v>19574</v>
      </c>
      <c r="H45">
        <v>19162</v>
      </c>
      <c r="J45">
        <v>22898</v>
      </c>
      <c r="L45">
        <v>22617</v>
      </c>
      <c r="N45">
        <v>28108</v>
      </c>
    </row>
    <row r="46" spans="1:14" x14ac:dyDescent="0.25">
      <c r="A46" t="s">
        <v>11</v>
      </c>
      <c r="B46" t="s">
        <v>48</v>
      </c>
      <c r="C46" t="s">
        <v>25</v>
      </c>
      <c r="D46" t="s">
        <v>14</v>
      </c>
      <c r="E46" t="s">
        <v>15</v>
      </c>
      <c r="F46">
        <v>1959.8</v>
      </c>
      <c r="H46">
        <v>2545.7600000000002</v>
      </c>
      <c r="J46">
        <v>1751.97</v>
      </c>
      <c r="L46">
        <v>1235.3900000000001</v>
      </c>
      <c r="N46">
        <v>996.96</v>
      </c>
    </row>
    <row r="47" spans="1:14" x14ac:dyDescent="0.25">
      <c r="A47" t="s">
        <v>11</v>
      </c>
      <c r="B47" t="s">
        <v>48</v>
      </c>
      <c r="C47" t="s">
        <v>28</v>
      </c>
      <c r="D47" t="s">
        <v>14</v>
      </c>
      <c r="E47" t="s">
        <v>15</v>
      </c>
      <c r="F47">
        <v>46335.26</v>
      </c>
      <c r="H47">
        <v>19089.46</v>
      </c>
      <c r="J47">
        <v>31489.119999999999</v>
      </c>
      <c r="L47">
        <v>32621.119999999999</v>
      </c>
      <c r="N47">
        <v>30020.799999999999</v>
      </c>
    </row>
    <row r="48" spans="1:14" x14ac:dyDescent="0.25">
      <c r="A48" t="s">
        <v>11</v>
      </c>
      <c r="B48" t="s">
        <v>49</v>
      </c>
      <c r="C48" t="s">
        <v>25</v>
      </c>
      <c r="D48" t="s">
        <v>14</v>
      </c>
      <c r="E48" t="s">
        <v>15</v>
      </c>
      <c r="F48">
        <v>1426.16</v>
      </c>
      <c r="H48">
        <v>2105.96</v>
      </c>
      <c r="J48">
        <v>2355.48</v>
      </c>
      <c r="L48">
        <v>1917.36</v>
      </c>
      <c r="N48">
        <v>2982.34</v>
      </c>
    </row>
    <row r="49" spans="1:15" x14ac:dyDescent="0.25">
      <c r="A49" t="s">
        <v>11</v>
      </c>
      <c r="B49" t="s">
        <v>49</v>
      </c>
      <c r="C49" t="s">
        <v>28</v>
      </c>
      <c r="D49" t="s">
        <v>14</v>
      </c>
      <c r="E49" t="s">
        <v>15</v>
      </c>
      <c r="F49">
        <v>2297.1999999999998</v>
      </c>
      <c r="H49">
        <v>2834.75</v>
      </c>
      <c r="J49">
        <v>2623.6</v>
      </c>
      <c r="L49">
        <v>5376.02</v>
      </c>
      <c r="N49">
        <v>3211.4</v>
      </c>
    </row>
    <row r="50" spans="1:15" x14ac:dyDescent="0.25">
      <c r="A50" t="s">
        <v>11</v>
      </c>
      <c r="B50" t="s">
        <v>50</v>
      </c>
      <c r="C50" t="s">
        <v>25</v>
      </c>
      <c r="D50" t="s">
        <v>14</v>
      </c>
      <c r="E50" t="s">
        <v>15</v>
      </c>
      <c r="F50">
        <v>11338.01</v>
      </c>
      <c r="H50">
        <v>12745.11</v>
      </c>
      <c r="J50">
        <v>16291.82</v>
      </c>
      <c r="L50">
        <v>10490.47</v>
      </c>
      <c r="N50">
        <v>13598.6</v>
      </c>
    </row>
    <row r="51" spans="1:15" x14ac:dyDescent="0.25">
      <c r="A51" t="s">
        <v>11</v>
      </c>
      <c r="B51" t="s">
        <v>50</v>
      </c>
      <c r="C51" t="s">
        <v>28</v>
      </c>
      <c r="D51" t="s">
        <v>14</v>
      </c>
      <c r="E51" t="s">
        <v>15</v>
      </c>
      <c r="F51">
        <v>105143.6</v>
      </c>
      <c r="H51">
        <v>44414.55</v>
      </c>
      <c r="J51">
        <v>47953.440000000002</v>
      </c>
      <c r="L51">
        <v>51284.76</v>
      </c>
      <c r="N51">
        <v>43575.57</v>
      </c>
    </row>
    <row r="52" spans="1:15" x14ac:dyDescent="0.25">
      <c r="A52" t="s">
        <v>11</v>
      </c>
      <c r="B52" t="s">
        <v>51</v>
      </c>
      <c r="C52" t="s">
        <v>25</v>
      </c>
      <c r="D52" t="s">
        <v>14</v>
      </c>
      <c r="E52" t="s">
        <v>15</v>
      </c>
      <c r="F52">
        <v>43366.1</v>
      </c>
      <c r="H52">
        <v>47735.46</v>
      </c>
      <c r="J52">
        <v>44781.1</v>
      </c>
      <c r="L52">
        <v>37928.660000000003</v>
      </c>
      <c r="N52">
        <v>30050.5</v>
      </c>
    </row>
    <row r="53" spans="1:15" x14ac:dyDescent="0.25">
      <c r="A53" t="s">
        <v>11</v>
      </c>
      <c r="B53" t="s">
        <v>51</v>
      </c>
      <c r="C53" t="s">
        <v>28</v>
      </c>
      <c r="D53" t="s">
        <v>14</v>
      </c>
      <c r="E53" t="s">
        <v>15</v>
      </c>
      <c r="F53">
        <v>43358.54</v>
      </c>
      <c r="H53">
        <v>52946.59</v>
      </c>
      <c r="J53">
        <v>47215.03</v>
      </c>
      <c r="L53">
        <v>43717.83</v>
      </c>
      <c r="N53">
        <v>45829.77</v>
      </c>
    </row>
    <row r="54" spans="1:15" x14ac:dyDescent="0.25">
      <c r="A54" t="s">
        <v>11</v>
      </c>
      <c r="B54" t="s">
        <v>52</v>
      </c>
      <c r="C54" t="s">
        <v>25</v>
      </c>
      <c r="D54" t="s">
        <v>14</v>
      </c>
      <c r="E54" t="s">
        <v>15</v>
      </c>
      <c r="F54">
        <v>840.47</v>
      </c>
      <c r="H54">
        <v>1106.6400000000001</v>
      </c>
      <c r="J54">
        <v>2837.23</v>
      </c>
      <c r="L54">
        <v>2775.02</v>
      </c>
      <c r="N54">
        <v>1591.24</v>
      </c>
    </row>
    <row r="55" spans="1:15" x14ac:dyDescent="0.25">
      <c r="A55" t="s">
        <v>11</v>
      </c>
      <c r="B55" t="s">
        <v>52</v>
      </c>
      <c r="C55" t="s">
        <v>28</v>
      </c>
      <c r="D55" t="s">
        <v>14</v>
      </c>
      <c r="E55" t="s">
        <v>15</v>
      </c>
      <c r="F55">
        <v>520.84</v>
      </c>
      <c r="H55">
        <v>0.11</v>
      </c>
      <c r="J55">
        <v>189.6</v>
      </c>
      <c r="L55">
        <v>243.3</v>
      </c>
      <c r="N55">
        <v>121.44</v>
      </c>
    </row>
    <row r="56" spans="1:15" x14ac:dyDescent="0.25">
      <c r="A56" t="s">
        <v>11</v>
      </c>
      <c r="B56" t="s">
        <v>53</v>
      </c>
      <c r="C56" t="s">
        <v>25</v>
      </c>
      <c r="D56" t="s">
        <v>14</v>
      </c>
      <c r="E56" t="s">
        <v>15</v>
      </c>
      <c r="F56">
        <v>220.43</v>
      </c>
      <c r="H56">
        <v>596.99</v>
      </c>
      <c r="J56">
        <v>803.86</v>
      </c>
      <c r="L56">
        <v>407.93</v>
      </c>
      <c r="N56">
        <v>794.63</v>
      </c>
    </row>
    <row r="57" spans="1:15" x14ac:dyDescent="0.25">
      <c r="A57" t="s">
        <v>11</v>
      </c>
      <c r="B57" t="s">
        <v>53</v>
      </c>
      <c r="C57" t="s">
        <v>28</v>
      </c>
      <c r="D57" t="s">
        <v>14</v>
      </c>
      <c r="E57" t="s">
        <v>15</v>
      </c>
      <c r="F57">
        <v>263</v>
      </c>
      <c r="H57">
        <v>263</v>
      </c>
      <c r="J57">
        <v>263</v>
      </c>
      <c r="L57">
        <v>267</v>
      </c>
      <c r="N57">
        <v>267</v>
      </c>
    </row>
    <row r="58" spans="1:15" x14ac:dyDescent="0.25">
      <c r="A58" t="s">
        <v>11</v>
      </c>
      <c r="B58" t="s">
        <v>54</v>
      </c>
      <c r="C58" t="s">
        <v>25</v>
      </c>
      <c r="D58" t="s">
        <v>14</v>
      </c>
      <c r="E58" t="s">
        <v>15</v>
      </c>
      <c r="F58">
        <v>12336.25</v>
      </c>
      <c r="H58">
        <v>14909.64</v>
      </c>
      <c r="J58">
        <v>22043.86</v>
      </c>
      <c r="L58">
        <v>17411.62</v>
      </c>
      <c r="N58">
        <v>17873.36</v>
      </c>
    </row>
    <row r="59" spans="1:15" x14ac:dyDescent="0.25">
      <c r="A59" t="s">
        <v>11</v>
      </c>
      <c r="B59" t="s">
        <v>54</v>
      </c>
      <c r="C59" t="s">
        <v>28</v>
      </c>
      <c r="D59" t="s">
        <v>14</v>
      </c>
      <c r="E59" t="s">
        <v>15</v>
      </c>
      <c r="F59">
        <v>0</v>
      </c>
      <c r="G59" t="s">
        <v>19</v>
      </c>
      <c r="H59">
        <v>43.01</v>
      </c>
      <c r="J59">
        <v>95.54</v>
      </c>
      <c r="L59">
        <v>394.02</v>
      </c>
      <c r="N59">
        <v>0</v>
      </c>
      <c r="O59" t="s">
        <v>19</v>
      </c>
    </row>
    <row r="60" spans="1:15" x14ac:dyDescent="0.25">
      <c r="A60" t="s">
        <v>11</v>
      </c>
      <c r="B60" t="s">
        <v>55</v>
      </c>
      <c r="C60" t="s">
        <v>25</v>
      </c>
      <c r="D60" t="s">
        <v>14</v>
      </c>
      <c r="E60" t="s">
        <v>15</v>
      </c>
      <c r="F60">
        <v>38799.269999999997</v>
      </c>
      <c r="H60">
        <v>8537.36</v>
      </c>
      <c r="J60">
        <v>10975.37</v>
      </c>
      <c r="L60">
        <v>12083.09</v>
      </c>
      <c r="N60">
        <v>11443.97</v>
      </c>
    </row>
    <row r="61" spans="1:15" x14ac:dyDescent="0.25">
      <c r="A61" t="s">
        <v>11</v>
      </c>
      <c r="B61" t="s">
        <v>55</v>
      </c>
      <c r="C61" t="s">
        <v>28</v>
      </c>
      <c r="D61" t="s">
        <v>14</v>
      </c>
      <c r="E61" t="s">
        <v>15</v>
      </c>
      <c r="F61">
        <v>126918.25</v>
      </c>
      <c r="H61">
        <v>107479.46</v>
      </c>
      <c r="J61">
        <v>87530.4</v>
      </c>
      <c r="L61">
        <v>87427.06</v>
      </c>
      <c r="N61">
        <v>85652.7</v>
      </c>
    </row>
    <row r="62" spans="1:15" x14ac:dyDescent="0.25">
      <c r="A62" t="s">
        <v>11</v>
      </c>
      <c r="B62" t="s">
        <v>56</v>
      </c>
      <c r="C62" t="s">
        <v>25</v>
      </c>
      <c r="D62" t="s">
        <v>14</v>
      </c>
      <c r="E62" t="s">
        <v>15</v>
      </c>
      <c r="F62">
        <v>0</v>
      </c>
      <c r="G62" t="s">
        <v>19</v>
      </c>
      <c r="H62">
        <v>0</v>
      </c>
      <c r="I62" t="s">
        <v>19</v>
      </c>
      <c r="J62">
        <v>0</v>
      </c>
      <c r="K62" t="s">
        <v>19</v>
      </c>
      <c r="L62">
        <v>0</v>
      </c>
      <c r="M62" t="s">
        <v>19</v>
      </c>
      <c r="N62">
        <v>0</v>
      </c>
      <c r="O62" t="s">
        <v>19</v>
      </c>
    </row>
    <row r="63" spans="1:15" x14ac:dyDescent="0.25">
      <c r="A63" t="s">
        <v>11</v>
      </c>
      <c r="B63" t="s">
        <v>56</v>
      </c>
      <c r="C63" t="s">
        <v>28</v>
      </c>
      <c r="D63" t="s">
        <v>14</v>
      </c>
      <c r="E63" t="s">
        <v>15</v>
      </c>
      <c r="F63">
        <v>0</v>
      </c>
      <c r="G63" t="s">
        <v>19</v>
      </c>
      <c r="H63">
        <v>0</v>
      </c>
      <c r="I63" t="s">
        <v>19</v>
      </c>
      <c r="J63">
        <v>0</v>
      </c>
      <c r="K63" t="s">
        <v>19</v>
      </c>
      <c r="L63">
        <v>0</v>
      </c>
      <c r="M63" t="s">
        <v>19</v>
      </c>
      <c r="N63">
        <v>0</v>
      </c>
      <c r="O63" t="s">
        <v>19</v>
      </c>
    </row>
    <row r="64" spans="1:15" x14ac:dyDescent="0.25">
      <c r="A64" t="s">
        <v>11</v>
      </c>
      <c r="B64" t="s">
        <v>57</v>
      </c>
      <c r="C64" t="s">
        <v>25</v>
      </c>
      <c r="D64" t="s">
        <v>14</v>
      </c>
      <c r="E64" t="s">
        <v>15</v>
      </c>
      <c r="F64">
        <v>0</v>
      </c>
      <c r="G64" t="s">
        <v>19</v>
      </c>
      <c r="H64">
        <v>59133.1</v>
      </c>
      <c r="J64">
        <v>51658.37</v>
      </c>
      <c r="L64">
        <v>38968.18</v>
      </c>
      <c r="N64">
        <v>42293.74</v>
      </c>
    </row>
    <row r="65" spans="1:15" x14ac:dyDescent="0.25">
      <c r="A65" t="s">
        <v>11</v>
      </c>
      <c r="B65" t="s">
        <v>57</v>
      </c>
      <c r="C65" t="s">
        <v>28</v>
      </c>
      <c r="D65" t="s">
        <v>14</v>
      </c>
      <c r="E65" t="s">
        <v>15</v>
      </c>
      <c r="F65">
        <v>0</v>
      </c>
      <c r="G65" t="s">
        <v>19</v>
      </c>
      <c r="H65">
        <v>7768.56</v>
      </c>
      <c r="J65">
        <v>12030.45</v>
      </c>
      <c r="L65">
        <v>16177.11</v>
      </c>
      <c r="N65">
        <v>4690.3999999999996</v>
      </c>
    </row>
    <row r="66" spans="1:15" x14ac:dyDescent="0.25">
      <c r="A66" t="s">
        <v>11</v>
      </c>
      <c r="B66" t="s">
        <v>58</v>
      </c>
      <c r="C66" t="s">
        <v>25</v>
      </c>
      <c r="D66" t="s">
        <v>14</v>
      </c>
      <c r="E66" t="s">
        <v>15</v>
      </c>
      <c r="F66">
        <v>5000</v>
      </c>
      <c r="G66" t="s">
        <v>33</v>
      </c>
      <c r="H66">
        <v>7485.91</v>
      </c>
      <c r="J66">
        <v>4444.1400000000003</v>
      </c>
      <c r="L66">
        <v>2493.9499999999998</v>
      </c>
      <c r="N66">
        <v>12663.71</v>
      </c>
    </row>
    <row r="67" spans="1:15" x14ac:dyDescent="0.25">
      <c r="A67" t="s">
        <v>11</v>
      </c>
      <c r="B67" t="s">
        <v>58</v>
      </c>
      <c r="C67" t="s">
        <v>28</v>
      </c>
      <c r="D67" t="s">
        <v>14</v>
      </c>
      <c r="E67" t="s">
        <v>15</v>
      </c>
      <c r="F67">
        <v>4106.0600000000004</v>
      </c>
      <c r="H67">
        <v>6346.92</v>
      </c>
      <c r="J67">
        <v>4679.2700000000004</v>
      </c>
      <c r="L67">
        <v>6366.99</v>
      </c>
      <c r="N67">
        <v>7654.74</v>
      </c>
    </row>
    <row r="68" spans="1:15" x14ac:dyDescent="0.25">
      <c r="A68" t="s">
        <v>11</v>
      </c>
      <c r="B68" t="s">
        <v>59</v>
      </c>
      <c r="C68" t="s">
        <v>13</v>
      </c>
      <c r="D68" t="s">
        <v>14</v>
      </c>
      <c r="E68" t="s">
        <v>15</v>
      </c>
      <c r="F68">
        <v>1232.8499999999999</v>
      </c>
      <c r="H68">
        <v>4314.3</v>
      </c>
      <c r="J68">
        <v>9260.1</v>
      </c>
      <c r="L68">
        <v>8643.1200000000008</v>
      </c>
      <c r="N68">
        <v>4750.74</v>
      </c>
    </row>
    <row r="69" spans="1:15" x14ac:dyDescent="0.25">
      <c r="A69" t="s">
        <v>11</v>
      </c>
      <c r="B69" t="s">
        <v>60</v>
      </c>
      <c r="C69" t="s">
        <v>25</v>
      </c>
      <c r="D69" t="s">
        <v>14</v>
      </c>
      <c r="E69" t="s">
        <v>15</v>
      </c>
      <c r="F69">
        <v>0</v>
      </c>
      <c r="G69" t="s">
        <v>19</v>
      </c>
      <c r="H69">
        <v>12511</v>
      </c>
      <c r="J69">
        <v>20863.93</v>
      </c>
      <c r="L69">
        <v>14239.37</v>
      </c>
      <c r="N69">
        <v>20310.3</v>
      </c>
    </row>
    <row r="70" spans="1:15" x14ac:dyDescent="0.25">
      <c r="A70" t="s">
        <v>11</v>
      </c>
      <c r="B70" t="s">
        <v>60</v>
      </c>
      <c r="C70" t="s">
        <v>28</v>
      </c>
      <c r="D70" t="s">
        <v>14</v>
      </c>
      <c r="E70" t="s">
        <v>15</v>
      </c>
      <c r="F70">
        <v>0</v>
      </c>
      <c r="G70" t="s">
        <v>19</v>
      </c>
      <c r="H70">
        <v>63106.73</v>
      </c>
      <c r="J70">
        <v>38606.07</v>
      </c>
      <c r="L70">
        <v>44511.54</v>
      </c>
      <c r="N70">
        <v>30520.1</v>
      </c>
    </row>
    <row r="71" spans="1:15" x14ac:dyDescent="0.25">
      <c r="A71" t="s">
        <v>11</v>
      </c>
      <c r="B71" t="s">
        <v>61</v>
      </c>
      <c r="C71" t="s">
        <v>25</v>
      </c>
      <c r="D71" t="s">
        <v>14</v>
      </c>
      <c r="E71" t="s">
        <v>15</v>
      </c>
      <c r="F71">
        <v>0</v>
      </c>
      <c r="G71" t="s">
        <v>19</v>
      </c>
      <c r="H71">
        <v>1301.05</v>
      </c>
      <c r="J71">
        <v>898</v>
      </c>
      <c r="L71">
        <v>1506.41</v>
      </c>
      <c r="N71">
        <v>1571.01</v>
      </c>
    </row>
    <row r="72" spans="1:15" x14ac:dyDescent="0.25">
      <c r="A72" t="s">
        <v>11</v>
      </c>
      <c r="B72" t="s">
        <v>61</v>
      </c>
      <c r="C72" t="s">
        <v>28</v>
      </c>
      <c r="D72" t="s">
        <v>14</v>
      </c>
      <c r="E72" t="s">
        <v>15</v>
      </c>
      <c r="F72">
        <v>0</v>
      </c>
      <c r="G72" t="s">
        <v>19</v>
      </c>
      <c r="H72">
        <v>107.02</v>
      </c>
      <c r="J72">
        <v>414.72</v>
      </c>
      <c r="L72">
        <v>370.41</v>
      </c>
      <c r="N72">
        <v>216.71</v>
      </c>
    </row>
    <row r="73" spans="1:15" x14ac:dyDescent="0.25">
      <c r="A73" t="s">
        <v>11</v>
      </c>
      <c r="B73" t="s">
        <v>62</v>
      </c>
      <c r="C73" t="s">
        <v>25</v>
      </c>
      <c r="D73" t="s">
        <v>14</v>
      </c>
      <c r="E73" t="s">
        <v>15</v>
      </c>
      <c r="F73">
        <v>0</v>
      </c>
      <c r="G73" t="s">
        <v>19</v>
      </c>
      <c r="H73">
        <v>82731.61</v>
      </c>
      <c r="J73">
        <v>55069.71</v>
      </c>
      <c r="L73">
        <v>41431.160000000003</v>
      </c>
      <c r="N73">
        <v>40348.97</v>
      </c>
    </row>
    <row r="74" spans="1:15" x14ac:dyDescent="0.25">
      <c r="A74" t="s">
        <v>11</v>
      </c>
      <c r="B74" t="s">
        <v>62</v>
      </c>
      <c r="C74" t="s">
        <v>28</v>
      </c>
      <c r="D74" t="s">
        <v>14</v>
      </c>
      <c r="E74" t="s">
        <v>15</v>
      </c>
      <c r="F74">
        <v>0</v>
      </c>
      <c r="G74" t="s">
        <v>19</v>
      </c>
      <c r="H74">
        <v>148807.60999999999</v>
      </c>
      <c r="J74">
        <v>166378.53</v>
      </c>
      <c r="L74">
        <v>156832.78</v>
      </c>
      <c r="N74">
        <v>152829.41</v>
      </c>
    </row>
    <row r="75" spans="1:15" x14ac:dyDescent="0.25">
      <c r="A75" t="s">
        <v>11</v>
      </c>
      <c r="B75" t="s">
        <v>63</v>
      </c>
      <c r="C75" t="s">
        <v>25</v>
      </c>
      <c r="D75" t="s">
        <v>14</v>
      </c>
      <c r="E75" t="s">
        <v>15</v>
      </c>
      <c r="F75">
        <v>0</v>
      </c>
      <c r="G75" t="s">
        <v>19</v>
      </c>
      <c r="H75">
        <v>0</v>
      </c>
      <c r="I75" t="s">
        <v>19</v>
      </c>
      <c r="J75">
        <v>0</v>
      </c>
      <c r="K75" t="s">
        <v>19</v>
      </c>
      <c r="L75">
        <v>8.99</v>
      </c>
      <c r="N75">
        <v>0</v>
      </c>
      <c r="O75" t="s">
        <v>19</v>
      </c>
    </row>
    <row r="76" spans="1:15" x14ac:dyDescent="0.25">
      <c r="A76" t="s">
        <v>11</v>
      </c>
      <c r="B76" t="s">
        <v>64</v>
      </c>
      <c r="C76" t="s">
        <v>25</v>
      </c>
      <c r="D76" t="s">
        <v>14</v>
      </c>
      <c r="E76" t="s">
        <v>15</v>
      </c>
      <c r="F76">
        <v>3021.13</v>
      </c>
      <c r="H76">
        <v>2495.9299999999998</v>
      </c>
      <c r="J76">
        <v>2934.48</v>
      </c>
      <c r="L76">
        <v>2949.28</v>
      </c>
      <c r="N76">
        <v>3378.73</v>
      </c>
    </row>
    <row r="77" spans="1:15" x14ac:dyDescent="0.25">
      <c r="A77" t="s">
        <v>11</v>
      </c>
      <c r="B77" t="s">
        <v>64</v>
      </c>
      <c r="C77" t="s">
        <v>28</v>
      </c>
      <c r="D77" t="s">
        <v>14</v>
      </c>
      <c r="E77" t="s">
        <v>15</v>
      </c>
      <c r="F77">
        <v>12126.3</v>
      </c>
      <c r="H77">
        <v>12770.78</v>
      </c>
      <c r="J77">
        <v>14399.57</v>
      </c>
      <c r="L77">
        <v>23094.69</v>
      </c>
      <c r="N77">
        <v>22001.25</v>
      </c>
    </row>
    <row r="78" spans="1:15" x14ac:dyDescent="0.25">
      <c r="A78" t="s">
        <v>11</v>
      </c>
      <c r="B78" t="s">
        <v>65</v>
      </c>
      <c r="C78" t="s">
        <v>13</v>
      </c>
      <c r="D78" t="s">
        <v>14</v>
      </c>
      <c r="E78" t="s">
        <v>15</v>
      </c>
      <c r="F78">
        <v>0</v>
      </c>
      <c r="G78" t="s">
        <v>19</v>
      </c>
      <c r="H78">
        <v>318.82</v>
      </c>
      <c r="J78">
        <v>475.97</v>
      </c>
      <c r="L78">
        <v>846.33</v>
      </c>
      <c r="N78">
        <v>410.96</v>
      </c>
    </row>
    <row r="79" spans="1:15" x14ac:dyDescent="0.25">
      <c r="A79" t="s">
        <v>11</v>
      </c>
      <c r="B79" t="s">
        <v>66</v>
      </c>
      <c r="C79" t="s">
        <v>13</v>
      </c>
      <c r="D79" t="s">
        <v>14</v>
      </c>
      <c r="E79" t="s">
        <v>15</v>
      </c>
      <c r="F79">
        <v>0</v>
      </c>
      <c r="G79" t="s">
        <v>19</v>
      </c>
      <c r="H79">
        <v>792.96</v>
      </c>
      <c r="J79">
        <v>185.1</v>
      </c>
      <c r="L79">
        <v>1.77</v>
      </c>
      <c r="N79">
        <v>0.93</v>
      </c>
    </row>
    <row r="80" spans="1:15" x14ac:dyDescent="0.25">
      <c r="A80" t="s">
        <v>11</v>
      </c>
      <c r="B80" t="s">
        <v>67</v>
      </c>
      <c r="C80" t="s">
        <v>25</v>
      </c>
      <c r="D80" t="s">
        <v>14</v>
      </c>
      <c r="E80" t="s">
        <v>15</v>
      </c>
      <c r="F80">
        <v>0</v>
      </c>
      <c r="G80" t="s">
        <v>19</v>
      </c>
      <c r="H80">
        <v>91.03</v>
      </c>
      <c r="J80">
        <v>11.9</v>
      </c>
      <c r="L80">
        <v>33.08</v>
      </c>
      <c r="N80">
        <v>64.41</v>
      </c>
    </row>
    <row r="81" spans="1:15" x14ac:dyDescent="0.25">
      <c r="A81" t="s">
        <v>11</v>
      </c>
      <c r="B81" t="s">
        <v>67</v>
      </c>
      <c r="C81" t="s">
        <v>28</v>
      </c>
      <c r="D81" t="s">
        <v>14</v>
      </c>
      <c r="E81" t="s">
        <v>15</v>
      </c>
      <c r="F81">
        <v>0</v>
      </c>
      <c r="G81" t="s">
        <v>19</v>
      </c>
      <c r="H81">
        <v>1809.94</v>
      </c>
      <c r="J81">
        <v>90.08</v>
      </c>
      <c r="L81">
        <v>6275.27</v>
      </c>
      <c r="N81">
        <v>5712.37</v>
      </c>
    </row>
    <row r="82" spans="1:15" x14ac:dyDescent="0.25">
      <c r="A82" t="s">
        <v>11</v>
      </c>
      <c r="B82" t="s">
        <v>68</v>
      </c>
      <c r="C82" t="s">
        <v>13</v>
      </c>
      <c r="D82" t="s">
        <v>14</v>
      </c>
      <c r="E82" t="s">
        <v>15</v>
      </c>
      <c r="F82">
        <v>0</v>
      </c>
      <c r="G82" t="s">
        <v>19</v>
      </c>
      <c r="H82">
        <v>477.93</v>
      </c>
      <c r="J82">
        <v>482.97</v>
      </c>
      <c r="L82">
        <v>422.17</v>
      </c>
      <c r="N82">
        <v>1210.78</v>
      </c>
    </row>
    <row r="83" spans="1:15" x14ac:dyDescent="0.25">
      <c r="A83" t="s">
        <v>11</v>
      </c>
      <c r="B83" t="s">
        <v>69</v>
      </c>
      <c r="C83" t="s">
        <v>13</v>
      </c>
      <c r="D83" t="s">
        <v>14</v>
      </c>
      <c r="E83" t="s">
        <v>15</v>
      </c>
      <c r="F83">
        <v>456.73</v>
      </c>
      <c r="H83">
        <v>1285.8900000000001</v>
      </c>
      <c r="J83">
        <v>1196.8800000000001</v>
      </c>
      <c r="L83">
        <v>864.27</v>
      </c>
      <c r="N83">
        <v>1260.27</v>
      </c>
    </row>
    <row r="84" spans="1:15" x14ac:dyDescent="0.25">
      <c r="A84" t="s">
        <v>11</v>
      </c>
      <c r="B84" t="s">
        <v>70</v>
      </c>
      <c r="C84" t="s">
        <v>13</v>
      </c>
      <c r="D84" t="s">
        <v>14</v>
      </c>
      <c r="E84" t="s">
        <v>15</v>
      </c>
      <c r="F84">
        <v>43093.94</v>
      </c>
      <c r="H84">
        <v>32491.8</v>
      </c>
      <c r="J84">
        <v>29016.1</v>
      </c>
      <c r="L84">
        <v>26540.639999999999</v>
      </c>
      <c r="N84">
        <v>24446.92</v>
      </c>
    </row>
    <row r="85" spans="1:15" x14ac:dyDescent="0.25">
      <c r="A85" t="s">
        <v>11</v>
      </c>
      <c r="B85" t="s">
        <v>71</v>
      </c>
      <c r="C85" t="s">
        <v>13</v>
      </c>
      <c r="D85" t="s">
        <v>14</v>
      </c>
      <c r="E85" t="s">
        <v>15</v>
      </c>
      <c r="F85">
        <v>7.06</v>
      </c>
      <c r="H85">
        <v>13.06</v>
      </c>
      <c r="J85">
        <v>9.6999999999999993</v>
      </c>
      <c r="L85">
        <v>10.6</v>
      </c>
      <c r="N85">
        <v>16.12</v>
      </c>
    </row>
    <row r="86" spans="1:15" x14ac:dyDescent="0.25">
      <c r="A86" t="s">
        <v>11</v>
      </c>
      <c r="B86" t="s">
        <v>72</v>
      </c>
      <c r="C86" t="s">
        <v>25</v>
      </c>
      <c r="D86" t="s">
        <v>14</v>
      </c>
      <c r="E86" t="s">
        <v>15</v>
      </c>
      <c r="F86">
        <v>0</v>
      </c>
      <c r="G86" t="s">
        <v>19</v>
      </c>
      <c r="H86">
        <v>0</v>
      </c>
      <c r="I86" t="s">
        <v>19</v>
      </c>
      <c r="J86">
        <v>0</v>
      </c>
      <c r="K86" t="s">
        <v>19</v>
      </c>
      <c r="L86">
        <v>0</v>
      </c>
      <c r="M86" t="s">
        <v>19</v>
      </c>
      <c r="N86">
        <v>0</v>
      </c>
      <c r="O86" t="s">
        <v>19</v>
      </c>
    </row>
    <row r="87" spans="1:15" x14ac:dyDescent="0.25">
      <c r="A87" t="s">
        <v>11</v>
      </c>
      <c r="B87" t="s">
        <v>72</v>
      </c>
      <c r="C87" t="s">
        <v>28</v>
      </c>
      <c r="D87" t="s">
        <v>14</v>
      </c>
      <c r="E87" t="s">
        <v>15</v>
      </c>
      <c r="F87">
        <v>0</v>
      </c>
      <c r="G87" t="s">
        <v>19</v>
      </c>
      <c r="H87">
        <v>0</v>
      </c>
      <c r="I87" t="s">
        <v>19</v>
      </c>
      <c r="J87">
        <v>0</v>
      </c>
      <c r="K87" t="s">
        <v>19</v>
      </c>
      <c r="L87">
        <v>0</v>
      </c>
      <c r="M87" t="s">
        <v>19</v>
      </c>
      <c r="N87">
        <v>0</v>
      </c>
      <c r="O87" t="s">
        <v>19</v>
      </c>
    </row>
    <row r="88" spans="1:15" x14ac:dyDescent="0.25">
      <c r="A88" t="s">
        <v>11</v>
      </c>
      <c r="B88" t="s">
        <v>73</v>
      </c>
      <c r="C88" t="s">
        <v>25</v>
      </c>
      <c r="D88" t="s">
        <v>14</v>
      </c>
      <c r="E88" t="s">
        <v>15</v>
      </c>
      <c r="F88">
        <v>0</v>
      </c>
      <c r="G88" t="s">
        <v>19</v>
      </c>
      <c r="H88">
        <v>788.09</v>
      </c>
      <c r="J88">
        <v>500.93</v>
      </c>
      <c r="L88">
        <v>1491.88</v>
      </c>
      <c r="N88">
        <v>993.98</v>
      </c>
    </row>
    <row r="89" spans="1:15" x14ac:dyDescent="0.25">
      <c r="A89" t="s">
        <v>11</v>
      </c>
      <c r="B89" t="s">
        <v>73</v>
      </c>
      <c r="C89" t="s">
        <v>28</v>
      </c>
      <c r="D89" t="s">
        <v>14</v>
      </c>
      <c r="E89" t="s">
        <v>15</v>
      </c>
      <c r="F89">
        <v>0</v>
      </c>
      <c r="G89" t="s">
        <v>19</v>
      </c>
      <c r="H89">
        <v>1062.94</v>
      </c>
      <c r="J89">
        <v>1121.94</v>
      </c>
      <c r="L89">
        <v>1810.79</v>
      </c>
      <c r="N89">
        <v>1241.8</v>
      </c>
    </row>
    <row r="90" spans="1:15" x14ac:dyDescent="0.25">
      <c r="A90" t="s">
        <v>11</v>
      </c>
      <c r="B90" t="s">
        <v>74</v>
      </c>
      <c r="C90" t="s">
        <v>25</v>
      </c>
      <c r="D90" t="s">
        <v>14</v>
      </c>
      <c r="E90" t="s">
        <v>15</v>
      </c>
      <c r="F90">
        <v>0</v>
      </c>
      <c r="G90" t="s">
        <v>19</v>
      </c>
      <c r="H90">
        <v>0</v>
      </c>
      <c r="I90" t="s">
        <v>19</v>
      </c>
      <c r="J90">
        <v>0</v>
      </c>
      <c r="K90" t="s">
        <v>19</v>
      </c>
      <c r="L90">
        <v>0</v>
      </c>
      <c r="M90" t="s">
        <v>19</v>
      </c>
      <c r="N90">
        <v>0</v>
      </c>
      <c r="O90" t="s">
        <v>19</v>
      </c>
    </row>
    <row r="91" spans="1:15" x14ac:dyDescent="0.25">
      <c r="A91" t="s">
        <v>11</v>
      </c>
      <c r="B91" t="s">
        <v>74</v>
      </c>
      <c r="C91" t="s">
        <v>28</v>
      </c>
      <c r="D91" t="s">
        <v>14</v>
      </c>
      <c r="E91" t="s">
        <v>15</v>
      </c>
      <c r="F91">
        <v>0</v>
      </c>
      <c r="G91" t="s">
        <v>19</v>
      </c>
      <c r="H91">
        <v>0</v>
      </c>
      <c r="I91" t="s">
        <v>19</v>
      </c>
      <c r="J91">
        <v>0</v>
      </c>
      <c r="K91" t="s">
        <v>19</v>
      </c>
      <c r="L91">
        <v>0</v>
      </c>
      <c r="M91" t="s">
        <v>19</v>
      </c>
      <c r="N91">
        <v>0</v>
      </c>
      <c r="O91" t="s">
        <v>19</v>
      </c>
    </row>
    <row r="92" spans="1:15" x14ac:dyDescent="0.25">
      <c r="A92" t="s">
        <v>11</v>
      </c>
      <c r="B92" t="s">
        <v>75</v>
      </c>
      <c r="C92" t="s">
        <v>13</v>
      </c>
      <c r="D92" t="s">
        <v>14</v>
      </c>
      <c r="E92" t="s">
        <v>15</v>
      </c>
      <c r="F92">
        <v>21988.9</v>
      </c>
      <c r="H92">
        <v>28992.35</v>
      </c>
      <c r="J92">
        <v>13247.55</v>
      </c>
      <c r="L92">
        <v>11918.67</v>
      </c>
      <c r="N92">
        <v>10609.59</v>
      </c>
    </row>
    <row r="93" spans="1:15" x14ac:dyDescent="0.25">
      <c r="A93" t="s">
        <v>11</v>
      </c>
      <c r="B93" t="s">
        <v>76</v>
      </c>
      <c r="C93" t="s">
        <v>25</v>
      </c>
      <c r="D93" t="s">
        <v>14</v>
      </c>
      <c r="E93" t="s">
        <v>15</v>
      </c>
      <c r="F93">
        <v>2832.43</v>
      </c>
      <c r="H93">
        <v>6578.06</v>
      </c>
      <c r="J93">
        <v>5484.19</v>
      </c>
      <c r="L93">
        <v>5593.75</v>
      </c>
      <c r="N93">
        <v>5122.34</v>
      </c>
    </row>
    <row r="94" spans="1:15" x14ac:dyDescent="0.25">
      <c r="A94" t="s">
        <v>11</v>
      </c>
      <c r="B94" t="s">
        <v>76</v>
      </c>
      <c r="C94" t="s">
        <v>28</v>
      </c>
      <c r="D94" t="s">
        <v>14</v>
      </c>
      <c r="E94" t="s">
        <v>15</v>
      </c>
      <c r="F94">
        <v>12201.41</v>
      </c>
      <c r="H94">
        <v>13324</v>
      </c>
      <c r="J94">
        <v>12891.45</v>
      </c>
      <c r="L94">
        <v>12839.26</v>
      </c>
      <c r="N94">
        <v>13268.63</v>
      </c>
    </row>
    <row r="95" spans="1:15" x14ac:dyDescent="0.25">
      <c r="A95" t="s">
        <v>11</v>
      </c>
      <c r="B95" t="s">
        <v>77</v>
      </c>
      <c r="C95" t="s">
        <v>25</v>
      </c>
      <c r="D95" t="s">
        <v>14</v>
      </c>
      <c r="E95" t="s">
        <v>15</v>
      </c>
      <c r="F95">
        <v>98428.19</v>
      </c>
      <c r="H95">
        <v>45537.4</v>
      </c>
      <c r="J95">
        <v>40066.79</v>
      </c>
      <c r="L95">
        <v>25060.35</v>
      </c>
      <c r="N95">
        <v>25734.07</v>
      </c>
    </row>
    <row r="96" spans="1:15" x14ac:dyDescent="0.25">
      <c r="A96" t="s">
        <v>11</v>
      </c>
      <c r="B96" t="s">
        <v>77</v>
      </c>
      <c r="C96" t="s">
        <v>28</v>
      </c>
      <c r="D96" t="s">
        <v>14</v>
      </c>
      <c r="E96" t="s">
        <v>15</v>
      </c>
      <c r="F96">
        <v>119866.93</v>
      </c>
      <c r="H96">
        <v>148761.64000000001</v>
      </c>
      <c r="J96">
        <v>153517.04999999999</v>
      </c>
      <c r="L96">
        <v>179277.37</v>
      </c>
      <c r="N96">
        <v>162990.44</v>
      </c>
    </row>
    <row r="97" spans="1:14" x14ac:dyDescent="0.25">
      <c r="A97" t="s">
        <v>11</v>
      </c>
      <c r="B97" t="s">
        <v>78</v>
      </c>
      <c r="C97" t="s">
        <v>13</v>
      </c>
      <c r="D97" t="s">
        <v>14</v>
      </c>
      <c r="E97" t="s">
        <v>15</v>
      </c>
      <c r="F97">
        <v>0</v>
      </c>
      <c r="G97" t="s">
        <v>19</v>
      </c>
      <c r="H97">
        <v>432.93</v>
      </c>
      <c r="J97">
        <v>656.16</v>
      </c>
      <c r="L97">
        <v>661.36</v>
      </c>
      <c r="N97">
        <v>797.19</v>
      </c>
    </row>
    <row r="98" spans="1:14" x14ac:dyDescent="0.25">
      <c r="A98" t="s">
        <v>11</v>
      </c>
      <c r="B98" t="s">
        <v>78</v>
      </c>
      <c r="C98" t="s">
        <v>25</v>
      </c>
      <c r="D98" t="s">
        <v>14</v>
      </c>
      <c r="E98" t="s">
        <v>15</v>
      </c>
      <c r="F98">
        <v>19982.88</v>
      </c>
      <c r="H98">
        <v>3945.13</v>
      </c>
      <c r="J98">
        <v>5505.56</v>
      </c>
      <c r="L98">
        <v>6018.56</v>
      </c>
      <c r="N98">
        <v>6060.13</v>
      </c>
    </row>
    <row r="99" spans="1:14" x14ac:dyDescent="0.25">
      <c r="A99" t="s">
        <v>11</v>
      </c>
      <c r="B99" t="s">
        <v>78</v>
      </c>
      <c r="C99" t="s">
        <v>28</v>
      </c>
      <c r="D99" t="s">
        <v>14</v>
      </c>
      <c r="E99" t="s">
        <v>15</v>
      </c>
      <c r="F99">
        <v>38228.42</v>
      </c>
      <c r="H99">
        <v>18750.84</v>
      </c>
      <c r="J99">
        <v>18031.21</v>
      </c>
      <c r="L99">
        <v>31704.84</v>
      </c>
      <c r="N99">
        <v>43670.38</v>
      </c>
    </row>
    <row r="100" spans="1:14" x14ac:dyDescent="0.25">
      <c r="A100" t="s">
        <v>11</v>
      </c>
      <c r="B100" t="s">
        <v>79</v>
      </c>
      <c r="C100" t="s">
        <v>25</v>
      </c>
      <c r="D100" t="s">
        <v>14</v>
      </c>
      <c r="E100" t="s">
        <v>15</v>
      </c>
      <c r="F100">
        <v>80.28</v>
      </c>
      <c r="H100">
        <v>80.67</v>
      </c>
      <c r="J100">
        <v>25.36</v>
      </c>
      <c r="L100">
        <v>265.33</v>
      </c>
      <c r="N100">
        <v>240.97</v>
      </c>
    </row>
    <row r="101" spans="1:14" x14ac:dyDescent="0.25">
      <c r="A101" t="s">
        <v>11</v>
      </c>
      <c r="B101" t="s">
        <v>79</v>
      </c>
      <c r="C101" t="s">
        <v>28</v>
      </c>
      <c r="D101" t="s">
        <v>14</v>
      </c>
      <c r="E101" t="s">
        <v>15</v>
      </c>
      <c r="F101">
        <v>3431.34</v>
      </c>
      <c r="H101">
        <v>177.35</v>
      </c>
      <c r="J101">
        <v>276.77</v>
      </c>
      <c r="L101">
        <v>600.32000000000005</v>
      </c>
      <c r="N101">
        <v>367.81</v>
      </c>
    </row>
    <row r="102" spans="1:14" x14ac:dyDescent="0.25">
      <c r="A102" t="s">
        <v>11</v>
      </c>
      <c r="B102" t="s">
        <v>80</v>
      </c>
      <c r="C102" t="s">
        <v>25</v>
      </c>
      <c r="D102" t="s">
        <v>14</v>
      </c>
      <c r="E102" t="s">
        <v>15</v>
      </c>
      <c r="F102">
        <v>5846.33</v>
      </c>
      <c r="H102">
        <v>4669.4799999999996</v>
      </c>
      <c r="J102">
        <v>3820.58</v>
      </c>
      <c r="L102">
        <v>3444.97</v>
      </c>
      <c r="N102">
        <v>3320.91</v>
      </c>
    </row>
    <row r="103" spans="1:14" x14ac:dyDescent="0.25">
      <c r="A103" t="s">
        <v>11</v>
      </c>
      <c r="B103" t="s">
        <v>80</v>
      </c>
      <c r="C103" t="s">
        <v>28</v>
      </c>
      <c r="D103" t="s">
        <v>14</v>
      </c>
      <c r="E103" t="s">
        <v>15</v>
      </c>
      <c r="F103">
        <v>9670.67</v>
      </c>
      <c r="H103">
        <v>15977.53</v>
      </c>
      <c r="J103">
        <v>13775.71</v>
      </c>
      <c r="L103">
        <v>22123.96</v>
      </c>
      <c r="N103">
        <v>16832.98</v>
      </c>
    </row>
    <row r="104" spans="1:14" x14ac:dyDescent="0.25">
      <c r="A104" t="s">
        <v>11</v>
      </c>
      <c r="B104" t="s">
        <v>81</v>
      </c>
      <c r="C104" t="s">
        <v>13</v>
      </c>
      <c r="D104" t="s">
        <v>14</v>
      </c>
      <c r="E104" t="s">
        <v>15</v>
      </c>
      <c r="F104">
        <v>148.85</v>
      </c>
      <c r="H104">
        <v>5243.41</v>
      </c>
      <c r="J104">
        <v>10847.28</v>
      </c>
      <c r="L104">
        <v>13083.73</v>
      </c>
      <c r="N104">
        <v>19526.650000000001</v>
      </c>
    </row>
    <row r="105" spans="1:14" x14ac:dyDescent="0.25">
      <c r="A105" t="s">
        <v>11</v>
      </c>
      <c r="B105" t="s">
        <v>82</v>
      </c>
      <c r="C105" t="s">
        <v>25</v>
      </c>
      <c r="D105" t="s">
        <v>14</v>
      </c>
      <c r="E105" t="s">
        <v>15</v>
      </c>
      <c r="F105">
        <v>0</v>
      </c>
      <c r="G105" t="s">
        <v>19</v>
      </c>
      <c r="H105">
        <v>59.77</v>
      </c>
      <c r="J105">
        <v>161.44999999999999</v>
      </c>
      <c r="L105">
        <v>28.72</v>
      </c>
      <c r="N105">
        <v>22.34</v>
      </c>
    </row>
    <row r="106" spans="1:14" x14ac:dyDescent="0.25">
      <c r="A106" t="s">
        <v>11</v>
      </c>
      <c r="B106" t="s">
        <v>82</v>
      </c>
      <c r="C106" t="s">
        <v>28</v>
      </c>
      <c r="D106" t="s">
        <v>14</v>
      </c>
      <c r="E106" t="s">
        <v>15</v>
      </c>
      <c r="F106">
        <v>3656.71</v>
      </c>
      <c r="H106">
        <v>0</v>
      </c>
      <c r="I106" t="s">
        <v>19</v>
      </c>
      <c r="J106">
        <v>23.85</v>
      </c>
      <c r="L106">
        <v>36.21</v>
      </c>
      <c r="N106">
        <v>2845.66</v>
      </c>
    </row>
    <row r="107" spans="1:14" x14ac:dyDescent="0.25">
      <c r="A107" t="s">
        <v>11</v>
      </c>
      <c r="B107" t="s">
        <v>83</v>
      </c>
      <c r="C107" t="s">
        <v>25</v>
      </c>
      <c r="D107" t="s">
        <v>14</v>
      </c>
      <c r="E107" t="s">
        <v>15</v>
      </c>
      <c r="F107">
        <v>468.26</v>
      </c>
      <c r="H107">
        <v>1106.72</v>
      </c>
      <c r="J107">
        <v>380.75</v>
      </c>
      <c r="L107">
        <v>229.47</v>
      </c>
      <c r="N107">
        <v>659.94</v>
      </c>
    </row>
    <row r="108" spans="1:14" x14ac:dyDescent="0.25">
      <c r="A108" t="s">
        <v>11</v>
      </c>
      <c r="B108" t="s">
        <v>83</v>
      </c>
      <c r="C108" t="s">
        <v>28</v>
      </c>
      <c r="D108" t="s">
        <v>14</v>
      </c>
      <c r="E108" t="s">
        <v>15</v>
      </c>
      <c r="F108">
        <v>0</v>
      </c>
      <c r="G108" t="s">
        <v>19</v>
      </c>
      <c r="H108">
        <v>3188.95</v>
      </c>
      <c r="J108">
        <v>5864.04</v>
      </c>
      <c r="L108">
        <v>6113.94</v>
      </c>
      <c r="N108">
        <v>8161.8</v>
      </c>
    </row>
    <row r="109" spans="1:14" x14ac:dyDescent="0.25">
      <c r="A109" t="s">
        <v>11</v>
      </c>
      <c r="B109" t="s">
        <v>84</v>
      </c>
      <c r="C109" t="s">
        <v>25</v>
      </c>
      <c r="D109" t="s">
        <v>14</v>
      </c>
      <c r="E109" t="s">
        <v>15</v>
      </c>
      <c r="F109">
        <v>620.37</v>
      </c>
      <c r="H109">
        <v>2450.4299999999998</v>
      </c>
      <c r="J109">
        <v>4460.79</v>
      </c>
      <c r="L109">
        <v>4567.8500000000004</v>
      </c>
      <c r="N109">
        <v>5766.76</v>
      </c>
    </row>
    <row r="110" spans="1:14" x14ac:dyDescent="0.25">
      <c r="A110" t="s">
        <v>11</v>
      </c>
      <c r="B110" t="s">
        <v>84</v>
      </c>
      <c r="C110" t="s">
        <v>28</v>
      </c>
      <c r="D110" t="s">
        <v>14</v>
      </c>
      <c r="E110" t="s">
        <v>15</v>
      </c>
      <c r="F110">
        <v>8368.5</v>
      </c>
      <c r="H110">
        <v>6761.19</v>
      </c>
      <c r="J110">
        <v>6205.52</v>
      </c>
      <c r="L110">
        <v>5237.57</v>
      </c>
      <c r="N110">
        <v>8217.83</v>
      </c>
    </row>
    <row r="111" spans="1:14" x14ac:dyDescent="0.25">
      <c r="A111" t="s">
        <v>11</v>
      </c>
      <c r="B111" t="s">
        <v>85</v>
      </c>
      <c r="C111" t="s">
        <v>25</v>
      </c>
      <c r="D111" t="s">
        <v>14</v>
      </c>
      <c r="E111" t="s">
        <v>15</v>
      </c>
      <c r="F111">
        <v>0</v>
      </c>
      <c r="G111" t="s">
        <v>19</v>
      </c>
      <c r="H111">
        <v>13.22</v>
      </c>
      <c r="J111">
        <v>17.62</v>
      </c>
      <c r="L111">
        <v>18.43</v>
      </c>
      <c r="N111">
        <v>18.11</v>
      </c>
    </row>
    <row r="112" spans="1:14" x14ac:dyDescent="0.25">
      <c r="A112" t="s">
        <v>11</v>
      </c>
      <c r="B112" t="s">
        <v>86</v>
      </c>
      <c r="C112" t="s">
        <v>13</v>
      </c>
      <c r="D112" t="s">
        <v>14</v>
      </c>
      <c r="E112" t="s">
        <v>15</v>
      </c>
      <c r="F112">
        <v>0</v>
      </c>
      <c r="G112" t="s">
        <v>19</v>
      </c>
      <c r="H112">
        <v>786.41</v>
      </c>
      <c r="J112">
        <v>823.97</v>
      </c>
      <c r="L112">
        <v>1284.04</v>
      </c>
      <c r="N112">
        <v>1059.82</v>
      </c>
    </row>
    <row r="113" spans="1:15" x14ac:dyDescent="0.25">
      <c r="A113" t="s">
        <v>11</v>
      </c>
      <c r="B113" t="s">
        <v>86</v>
      </c>
      <c r="C113" t="s">
        <v>25</v>
      </c>
      <c r="D113" t="s">
        <v>14</v>
      </c>
      <c r="E113" t="s">
        <v>15</v>
      </c>
      <c r="F113">
        <v>0</v>
      </c>
      <c r="G113" t="s">
        <v>19</v>
      </c>
      <c r="H113">
        <v>3887.47</v>
      </c>
      <c r="J113">
        <v>2057.67</v>
      </c>
      <c r="L113">
        <v>5814.43</v>
      </c>
      <c r="N113">
        <v>6538.8</v>
      </c>
    </row>
    <row r="114" spans="1:15" x14ac:dyDescent="0.25">
      <c r="A114" t="s">
        <v>11</v>
      </c>
      <c r="B114" t="s">
        <v>86</v>
      </c>
      <c r="C114" t="s">
        <v>28</v>
      </c>
      <c r="D114" t="s">
        <v>14</v>
      </c>
      <c r="E114" t="s">
        <v>15</v>
      </c>
      <c r="F114">
        <v>0</v>
      </c>
      <c r="G114" t="s">
        <v>19</v>
      </c>
      <c r="H114">
        <v>17162.47</v>
      </c>
      <c r="J114">
        <v>21280.59</v>
      </c>
      <c r="L114">
        <v>15170.35</v>
      </c>
      <c r="N114">
        <v>26383.4</v>
      </c>
    </row>
    <row r="115" spans="1:15" x14ac:dyDescent="0.25">
      <c r="A115" t="s">
        <v>11</v>
      </c>
      <c r="B115" t="s">
        <v>87</v>
      </c>
      <c r="C115" t="s">
        <v>25</v>
      </c>
      <c r="D115" t="s">
        <v>14</v>
      </c>
      <c r="E115" t="s">
        <v>15</v>
      </c>
      <c r="F115">
        <v>14090.49</v>
      </c>
      <c r="H115">
        <v>593.04</v>
      </c>
      <c r="J115">
        <v>1423.18</v>
      </c>
      <c r="L115">
        <v>1299.06</v>
      </c>
      <c r="N115">
        <v>1292.9000000000001</v>
      </c>
    </row>
    <row r="116" spans="1:15" x14ac:dyDescent="0.25">
      <c r="A116" t="s">
        <v>11</v>
      </c>
      <c r="B116" t="s">
        <v>87</v>
      </c>
      <c r="C116" t="s">
        <v>28</v>
      </c>
      <c r="D116" t="s">
        <v>14</v>
      </c>
      <c r="E116" t="s">
        <v>15</v>
      </c>
      <c r="F116">
        <v>41546.42</v>
      </c>
      <c r="H116">
        <v>3817.16</v>
      </c>
      <c r="J116">
        <v>8149.16</v>
      </c>
      <c r="L116">
        <v>14689.36</v>
      </c>
      <c r="N116">
        <v>23496.81</v>
      </c>
    </row>
    <row r="117" spans="1:15" x14ac:dyDescent="0.25">
      <c r="A117" t="s">
        <v>11</v>
      </c>
      <c r="B117" t="s">
        <v>88</v>
      </c>
      <c r="C117" t="s">
        <v>25</v>
      </c>
      <c r="D117" t="s">
        <v>14</v>
      </c>
      <c r="E117" t="s">
        <v>15</v>
      </c>
      <c r="F117">
        <v>0</v>
      </c>
      <c r="G117" t="s">
        <v>19</v>
      </c>
      <c r="H117">
        <v>0</v>
      </c>
      <c r="I117" t="s">
        <v>19</v>
      </c>
      <c r="J117">
        <v>25.8</v>
      </c>
      <c r="L117">
        <v>0</v>
      </c>
      <c r="M117" t="s">
        <v>19</v>
      </c>
      <c r="N117">
        <v>78</v>
      </c>
    </row>
    <row r="118" spans="1:15" x14ac:dyDescent="0.25">
      <c r="A118" t="s">
        <v>11</v>
      </c>
      <c r="B118" t="s">
        <v>89</v>
      </c>
      <c r="C118" t="s">
        <v>13</v>
      </c>
      <c r="D118" t="s">
        <v>90</v>
      </c>
      <c r="E118" t="s">
        <v>15</v>
      </c>
      <c r="F118">
        <v>6817</v>
      </c>
      <c r="H118">
        <v>5575</v>
      </c>
      <c r="J118">
        <v>2302</v>
      </c>
      <c r="L118">
        <v>3323</v>
      </c>
      <c r="N118">
        <v>2705</v>
      </c>
    </row>
    <row r="119" spans="1:15" x14ac:dyDescent="0.25">
      <c r="A119" t="s">
        <v>11</v>
      </c>
      <c r="B119" t="s">
        <v>91</v>
      </c>
      <c r="C119" t="s">
        <v>25</v>
      </c>
      <c r="D119" t="s">
        <v>14</v>
      </c>
      <c r="E119" t="s">
        <v>15</v>
      </c>
      <c r="F119">
        <v>0.02</v>
      </c>
      <c r="H119">
        <v>0</v>
      </c>
      <c r="I119" t="s">
        <v>19</v>
      </c>
      <c r="J119">
        <v>0</v>
      </c>
      <c r="K119" t="s">
        <v>19</v>
      </c>
      <c r="L119">
        <v>0</v>
      </c>
      <c r="M119" t="s">
        <v>19</v>
      </c>
      <c r="N119">
        <v>0</v>
      </c>
      <c r="O119" t="s">
        <v>19</v>
      </c>
    </row>
    <row r="120" spans="1:15" x14ac:dyDescent="0.25">
      <c r="A120" t="s">
        <v>11</v>
      </c>
      <c r="B120" t="s">
        <v>91</v>
      </c>
      <c r="C120" t="s">
        <v>28</v>
      </c>
      <c r="D120" t="s">
        <v>14</v>
      </c>
      <c r="E120" t="s">
        <v>15</v>
      </c>
      <c r="F120">
        <v>95.64</v>
      </c>
      <c r="H120">
        <v>0</v>
      </c>
      <c r="I120" t="s">
        <v>19</v>
      </c>
      <c r="J120">
        <v>0</v>
      </c>
      <c r="K120" t="s">
        <v>19</v>
      </c>
      <c r="L120">
        <v>0</v>
      </c>
      <c r="M120" t="s">
        <v>19</v>
      </c>
      <c r="N120">
        <v>0</v>
      </c>
      <c r="O120" t="s">
        <v>19</v>
      </c>
    </row>
    <row r="121" spans="1:15" x14ac:dyDescent="0.25">
      <c r="A121" t="s">
        <v>11</v>
      </c>
      <c r="B121" t="s">
        <v>92</v>
      </c>
      <c r="C121" t="s">
        <v>13</v>
      </c>
      <c r="D121" t="s">
        <v>14</v>
      </c>
      <c r="E121" t="s">
        <v>15</v>
      </c>
      <c r="F121">
        <v>107.8</v>
      </c>
      <c r="H121">
        <v>238.06</v>
      </c>
      <c r="J121">
        <v>241.56</v>
      </c>
      <c r="L121">
        <v>583.32000000000005</v>
      </c>
      <c r="N121">
        <v>453.01</v>
      </c>
    </row>
    <row r="122" spans="1:15" x14ac:dyDescent="0.25">
      <c r="A122" t="s">
        <v>11</v>
      </c>
      <c r="B122" t="s">
        <v>93</v>
      </c>
      <c r="C122" t="s">
        <v>25</v>
      </c>
      <c r="D122" t="s">
        <v>14</v>
      </c>
      <c r="E122" t="s">
        <v>15</v>
      </c>
      <c r="F122">
        <v>0</v>
      </c>
      <c r="G122" t="s">
        <v>19</v>
      </c>
      <c r="H122">
        <v>0</v>
      </c>
      <c r="I122" t="s">
        <v>19</v>
      </c>
      <c r="J122">
        <v>0</v>
      </c>
      <c r="K122" t="s">
        <v>19</v>
      </c>
      <c r="L122">
        <v>0</v>
      </c>
      <c r="M122" t="s">
        <v>19</v>
      </c>
      <c r="N122">
        <v>0</v>
      </c>
      <c r="O122" t="s">
        <v>19</v>
      </c>
    </row>
    <row r="123" spans="1:15" x14ac:dyDescent="0.25">
      <c r="A123" t="s">
        <v>11</v>
      </c>
      <c r="B123" t="s">
        <v>93</v>
      </c>
      <c r="C123" t="s">
        <v>28</v>
      </c>
      <c r="D123" t="s">
        <v>14</v>
      </c>
      <c r="E123" t="s">
        <v>15</v>
      </c>
      <c r="F123">
        <v>0</v>
      </c>
      <c r="G123" t="s">
        <v>19</v>
      </c>
      <c r="H123">
        <v>0</v>
      </c>
      <c r="I123" t="s">
        <v>19</v>
      </c>
      <c r="J123">
        <v>0</v>
      </c>
      <c r="K123" t="s">
        <v>19</v>
      </c>
      <c r="L123">
        <v>0</v>
      </c>
      <c r="M123" t="s">
        <v>19</v>
      </c>
      <c r="N123">
        <v>0</v>
      </c>
      <c r="O123" t="s">
        <v>19</v>
      </c>
    </row>
    <row r="124" spans="1:15" x14ac:dyDescent="0.25">
      <c r="A124" t="s">
        <v>11</v>
      </c>
      <c r="B124" t="s">
        <v>94</v>
      </c>
      <c r="C124" t="s">
        <v>25</v>
      </c>
      <c r="D124" t="s">
        <v>14</v>
      </c>
      <c r="E124" t="s">
        <v>15</v>
      </c>
      <c r="F124">
        <v>331.5</v>
      </c>
      <c r="H124">
        <v>7448</v>
      </c>
      <c r="J124">
        <v>11535.09</v>
      </c>
      <c r="L124">
        <v>6505.34</v>
      </c>
      <c r="N124">
        <v>3566.09</v>
      </c>
    </row>
    <row r="125" spans="1:15" x14ac:dyDescent="0.25">
      <c r="A125" t="s">
        <v>11</v>
      </c>
      <c r="B125" t="s">
        <v>94</v>
      </c>
      <c r="C125" t="s">
        <v>28</v>
      </c>
      <c r="D125" t="s">
        <v>14</v>
      </c>
      <c r="E125" t="s">
        <v>15</v>
      </c>
      <c r="F125">
        <v>11086.57</v>
      </c>
      <c r="H125">
        <v>9951.51</v>
      </c>
      <c r="J125">
        <v>13893.28</v>
      </c>
      <c r="L125">
        <v>11938.78</v>
      </c>
      <c r="N125">
        <v>13725.77</v>
      </c>
    </row>
    <row r="126" spans="1:15" x14ac:dyDescent="0.25">
      <c r="A126" t="s">
        <v>11</v>
      </c>
      <c r="B126" t="s">
        <v>95</v>
      </c>
      <c r="C126" t="s">
        <v>13</v>
      </c>
      <c r="D126" t="s">
        <v>14</v>
      </c>
      <c r="E126" t="s">
        <v>15</v>
      </c>
      <c r="F126">
        <v>0</v>
      </c>
      <c r="G126" t="s">
        <v>19</v>
      </c>
      <c r="H126">
        <v>594.20000000000005</v>
      </c>
      <c r="J126">
        <v>622.91</v>
      </c>
      <c r="L126">
        <v>582.98</v>
      </c>
      <c r="N126">
        <v>640.41999999999996</v>
      </c>
    </row>
    <row r="127" spans="1:15" x14ac:dyDescent="0.25">
      <c r="A127" t="s">
        <v>11</v>
      </c>
      <c r="B127" t="s">
        <v>95</v>
      </c>
      <c r="C127" t="s">
        <v>25</v>
      </c>
      <c r="D127" t="s">
        <v>14</v>
      </c>
      <c r="E127" t="s">
        <v>15</v>
      </c>
      <c r="F127">
        <v>8896.42</v>
      </c>
      <c r="H127">
        <v>8919.2900000000009</v>
      </c>
      <c r="J127">
        <v>10225.94</v>
      </c>
      <c r="L127">
        <v>8944.9</v>
      </c>
      <c r="N127">
        <v>10649.18</v>
      </c>
    </row>
    <row r="128" spans="1:15" x14ac:dyDescent="0.25">
      <c r="A128" t="s">
        <v>11</v>
      </c>
      <c r="B128" t="s">
        <v>95</v>
      </c>
      <c r="C128" t="s">
        <v>28</v>
      </c>
      <c r="D128" t="s">
        <v>14</v>
      </c>
      <c r="E128" t="s">
        <v>15</v>
      </c>
      <c r="F128">
        <v>35003.42</v>
      </c>
      <c r="H128">
        <v>27531.1</v>
      </c>
      <c r="J128">
        <v>30013.25</v>
      </c>
      <c r="L128">
        <v>40584.75</v>
      </c>
      <c r="N128">
        <v>41716.47</v>
      </c>
    </row>
    <row r="129" spans="1:15" x14ac:dyDescent="0.25">
      <c r="A129" t="s">
        <v>11</v>
      </c>
      <c r="B129" t="s">
        <v>96</v>
      </c>
      <c r="C129" t="s">
        <v>13</v>
      </c>
      <c r="D129" t="s">
        <v>14</v>
      </c>
      <c r="E129" t="s">
        <v>15</v>
      </c>
      <c r="F129">
        <v>14136.86</v>
      </c>
      <c r="H129">
        <v>2771.14</v>
      </c>
      <c r="J129">
        <v>2112.5</v>
      </c>
      <c r="L129">
        <v>1747.33</v>
      </c>
      <c r="N129">
        <v>985.44</v>
      </c>
    </row>
    <row r="130" spans="1:15" x14ac:dyDescent="0.25">
      <c r="A130" t="s">
        <v>11</v>
      </c>
      <c r="B130" t="s">
        <v>97</v>
      </c>
      <c r="C130" t="s">
        <v>13</v>
      </c>
      <c r="D130" t="s">
        <v>14</v>
      </c>
      <c r="E130" t="s">
        <v>15</v>
      </c>
      <c r="F130">
        <v>30257.33</v>
      </c>
      <c r="G130" t="s">
        <v>33</v>
      </c>
      <c r="H130">
        <v>39313.57</v>
      </c>
      <c r="I130" t="s">
        <v>33</v>
      </c>
      <c r="J130">
        <v>20683.84</v>
      </c>
      <c r="K130" t="s">
        <v>33</v>
      </c>
      <c r="L130">
        <v>25323.47</v>
      </c>
      <c r="M130" t="s">
        <v>33</v>
      </c>
      <c r="N130">
        <v>23528.85</v>
      </c>
      <c r="O130" t="s">
        <v>33</v>
      </c>
    </row>
    <row r="131" spans="1:15" x14ac:dyDescent="0.25">
      <c r="A131" t="s">
        <v>11</v>
      </c>
      <c r="B131" t="s">
        <v>98</v>
      </c>
      <c r="C131" t="s">
        <v>13</v>
      </c>
      <c r="D131" t="s">
        <v>14</v>
      </c>
      <c r="E131" t="s">
        <v>15</v>
      </c>
      <c r="F131">
        <v>0</v>
      </c>
      <c r="G131" t="s">
        <v>19</v>
      </c>
      <c r="H131">
        <v>965.56</v>
      </c>
      <c r="J131">
        <v>1205.1300000000001</v>
      </c>
      <c r="L131">
        <v>1439.84</v>
      </c>
      <c r="N131">
        <v>658.23</v>
      </c>
    </row>
    <row r="132" spans="1:15" x14ac:dyDescent="0.25">
      <c r="A132" t="s">
        <v>11</v>
      </c>
      <c r="B132" t="s">
        <v>99</v>
      </c>
      <c r="C132" t="s">
        <v>13</v>
      </c>
      <c r="D132" t="s">
        <v>14</v>
      </c>
      <c r="E132" t="s">
        <v>15</v>
      </c>
      <c r="F132">
        <v>595.59</v>
      </c>
      <c r="H132">
        <v>1500</v>
      </c>
      <c r="I132" t="s">
        <v>33</v>
      </c>
      <c r="J132">
        <v>1500</v>
      </c>
      <c r="K132" t="s">
        <v>33</v>
      </c>
      <c r="L132">
        <v>1500</v>
      </c>
      <c r="M132" t="s">
        <v>33</v>
      </c>
      <c r="N132">
        <v>1500</v>
      </c>
      <c r="O132" t="s">
        <v>33</v>
      </c>
    </row>
    <row r="133" spans="1:15" x14ac:dyDescent="0.25">
      <c r="A133" t="s">
        <v>11</v>
      </c>
      <c r="B133" t="s">
        <v>100</v>
      </c>
      <c r="C133" t="s">
        <v>13</v>
      </c>
      <c r="D133" t="s">
        <v>14</v>
      </c>
      <c r="E133" t="s">
        <v>15</v>
      </c>
      <c r="F133">
        <v>30792.83</v>
      </c>
      <c r="H133">
        <v>0</v>
      </c>
      <c r="I133" t="s">
        <v>19</v>
      </c>
      <c r="J133">
        <v>0</v>
      </c>
      <c r="K133" t="s">
        <v>19</v>
      </c>
      <c r="L133">
        <v>0</v>
      </c>
      <c r="M133" t="s">
        <v>19</v>
      </c>
      <c r="N133">
        <v>0</v>
      </c>
      <c r="O133" t="s">
        <v>19</v>
      </c>
    </row>
    <row r="134" spans="1:15" x14ac:dyDescent="0.25">
      <c r="A134" t="s">
        <v>11</v>
      </c>
      <c r="B134" t="s">
        <v>101</v>
      </c>
      <c r="C134" t="s">
        <v>13</v>
      </c>
      <c r="D134" t="s">
        <v>14</v>
      </c>
      <c r="E134" t="s">
        <v>15</v>
      </c>
      <c r="F134">
        <v>0</v>
      </c>
      <c r="G134" t="s">
        <v>19</v>
      </c>
      <c r="H134">
        <v>0</v>
      </c>
      <c r="I134" t="s">
        <v>19</v>
      </c>
      <c r="J134">
        <v>0</v>
      </c>
      <c r="K134" t="s">
        <v>19</v>
      </c>
      <c r="L134">
        <v>0</v>
      </c>
      <c r="M134" t="s">
        <v>19</v>
      </c>
      <c r="N134">
        <v>0</v>
      </c>
      <c r="O134" t="s">
        <v>19</v>
      </c>
    </row>
    <row r="135" spans="1:15" x14ac:dyDescent="0.25">
      <c r="A135" t="s">
        <v>11</v>
      </c>
      <c r="B135" t="s">
        <v>102</v>
      </c>
      <c r="C135" t="s">
        <v>25</v>
      </c>
      <c r="D135" t="s">
        <v>14</v>
      </c>
      <c r="E135" t="s">
        <v>15</v>
      </c>
      <c r="F135">
        <v>0</v>
      </c>
      <c r="H135">
        <v>0</v>
      </c>
      <c r="J135">
        <v>0</v>
      </c>
      <c r="L135">
        <v>0</v>
      </c>
      <c r="N135">
        <v>0</v>
      </c>
    </row>
    <row r="136" spans="1:15" x14ac:dyDescent="0.25">
      <c r="A136" t="s">
        <v>11</v>
      </c>
      <c r="B136" t="s">
        <v>103</v>
      </c>
      <c r="C136" t="s">
        <v>25</v>
      </c>
      <c r="D136" t="s">
        <v>14</v>
      </c>
      <c r="E136" t="s">
        <v>15</v>
      </c>
      <c r="F136">
        <v>48669.38</v>
      </c>
      <c r="H136">
        <v>60573.86</v>
      </c>
      <c r="J136">
        <v>82000.44</v>
      </c>
      <c r="L136">
        <v>65388.87</v>
      </c>
      <c r="N136">
        <v>77588.429999999993</v>
      </c>
    </row>
    <row r="137" spans="1:15" x14ac:dyDescent="0.25">
      <c r="A137" t="s">
        <v>11</v>
      </c>
      <c r="B137" t="s">
        <v>103</v>
      </c>
      <c r="C137" t="s">
        <v>28</v>
      </c>
      <c r="D137" t="s">
        <v>14</v>
      </c>
      <c r="E137" t="s">
        <v>15</v>
      </c>
      <c r="F137">
        <v>42716.82</v>
      </c>
      <c r="H137">
        <v>123065.54</v>
      </c>
      <c r="J137">
        <v>129134.87</v>
      </c>
      <c r="L137">
        <v>109679.48</v>
      </c>
      <c r="N137">
        <v>133131.56</v>
      </c>
    </row>
    <row r="138" spans="1:15" x14ac:dyDescent="0.25">
      <c r="A138" t="s">
        <v>11</v>
      </c>
      <c r="B138" t="s">
        <v>104</v>
      </c>
      <c r="C138" t="s">
        <v>13</v>
      </c>
      <c r="D138" t="s">
        <v>14</v>
      </c>
      <c r="E138" t="s">
        <v>15</v>
      </c>
      <c r="F138">
        <v>461.02</v>
      </c>
      <c r="H138">
        <v>180.35</v>
      </c>
      <c r="J138">
        <v>151.80000000000001</v>
      </c>
      <c r="L138">
        <v>1363.23</v>
      </c>
      <c r="N138">
        <v>147.63999999999999</v>
      </c>
    </row>
    <row r="139" spans="1:15" x14ac:dyDescent="0.25">
      <c r="A139" t="s">
        <v>11</v>
      </c>
      <c r="B139" t="s">
        <v>105</v>
      </c>
      <c r="C139" t="s">
        <v>25</v>
      </c>
      <c r="D139" t="s">
        <v>14</v>
      </c>
      <c r="E139" t="s">
        <v>15</v>
      </c>
      <c r="F139">
        <v>0</v>
      </c>
      <c r="G139" t="s">
        <v>19</v>
      </c>
      <c r="H139">
        <v>1892.55</v>
      </c>
      <c r="J139">
        <v>1762.71</v>
      </c>
      <c r="L139">
        <v>1734.95</v>
      </c>
      <c r="N139">
        <v>1264.8900000000001</v>
      </c>
    </row>
    <row r="140" spans="1:15" x14ac:dyDescent="0.25">
      <c r="A140" t="s">
        <v>11</v>
      </c>
      <c r="B140" t="s">
        <v>105</v>
      </c>
      <c r="C140" t="s">
        <v>28</v>
      </c>
      <c r="D140" t="s">
        <v>14</v>
      </c>
      <c r="E140" t="s">
        <v>15</v>
      </c>
      <c r="F140">
        <v>0</v>
      </c>
      <c r="G140" t="s">
        <v>19</v>
      </c>
      <c r="H140">
        <v>17911.740000000002</v>
      </c>
      <c r="J140">
        <v>15931.95</v>
      </c>
      <c r="L140">
        <v>17584.419999999998</v>
      </c>
      <c r="N140">
        <v>23771.35</v>
      </c>
    </row>
    <row r="141" spans="1:15" x14ac:dyDescent="0.25">
      <c r="A141" t="s">
        <v>11</v>
      </c>
      <c r="B141" t="s">
        <v>106</v>
      </c>
      <c r="C141" t="s">
        <v>25</v>
      </c>
      <c r="D141" t="s">
        <v>14</v>
      </c>
      <c r="E141" t="s">
        <v>15</v>
      </c>
      <c r="F141">
        <v>5200.6000000000004</v>
      </c>
      <c r="H141">
        <v>3642.68</v>
      </c>
      <c r="J141">
        <v>758.51</v>
      </c>
      <c r="L141">
        <v>762.49</v>
      </c>
      <c r="N141">
        <v>1175.17</v>
      </c>
    </row>
    <row r="142" spans="1:15" x14ac:dyDescent="0.25">
      <c r="A142" t="s">
        <v>11</v>
      </c>
      <c r="B142" t="s">
        <v>106</v>
      </c>
      <c r="C142" t="s">
        <v>28</v>
      </c>
      <c r="D142" t="s">
        <v>14</v>
      </c>
      <c r="E142" t="s">
        <v>15</v>
      </c>
      <c r="F142">
        <v>86056.87</v>
      </c>
      <c r="H142">
        <v>14393.67</v>
      </c>
      <c r="J142">
        <v>15561.68</v>
      </c>
      <c r="L142">
        <v>11492.88</v>
      </c>
      <c r="N142">
        <v>9513.58</v>
      </c>
    </row>
    <row r="143" spans="1:15" x14ac:dyDescent="0.25">
      <c r="A143" t="s">
        <v>11</v>
      </c>
      <c r="B143" t="s">
        <v>107</v>
      </c>
      <c r="C143" t="s">
        <v>13</v>
      </c>
      <c r="D143" t="s">
        <v>14</v>
      </c>
      <c r="E143" t="s">
        <v>15</v>
      </c>
      <c r="F143">
        <v>0</v>
      </c>
      <c r="G143" t="s">
        <v>19</v>
      </c>
      <c r="H143">
        <v>357.81</v>
      </c>
      <c r="J143">
        <v>1146.3800000000001</v>
      </c>
      <c r="L143">
        <v>140.06</v>
      </c>
      <c r="N143">
        <v>168.96</v>
      </c>
    </row>
    <row r="144" spans="1:15" x14ac:dyDescent="0.25">
      <c r="A144" t="s">
        <v>11</v>
      </c>
      <c r="B144" t="s">
        <v>107</v>
      </c>
      <c r="C144" t="s">
        <v>25</v>
      </c>
      <c r="D144" t="s">
        <v>14</v>
      </c>
      <c r="E144" t="s">
        <v>15</v>
      </c>
      <c r="F144">
        <v>0</v>
      </c>
      <c r="G144" t="s">
        <v>19</v>
      </c>
      <c r="H144">
        <v>106.49</v>
      </c>
      <c r="J144">
        <v>8.07</v>
      </c>
      <c r="L144">
        <v>13.71</v>
      </c>
      <c r="N144">
        <v>45.31</v>
      </c>
    </row>
    <row r="145" spans="1:15" x14ac:dyDescent="0.25">
      <c r="A145" t="s">
        <v>11</v>
      </c>
      <c r="B145" t="s">
        <v>107</v>
      </c>
      <c r="C145" t="s">
        <v>28</v>
      </c>
      <c r="D145" t="s">
        <v>14</v>
      </c>
      <c r="E145" t="s">
        <v>15</v>
      </c>
      <c r="F145">
        <v>600</v>
      </c>
      <c r="G145" t="s">
        <v>33</v>
      </c>
      <c r="H145">
        <v>1500</v>
      </c>
      <c r="I145" t="s">
        <v>33</v>
      </c>
      <c r="J145">
        <v>2016.15</v>
      </c>
      <c r="L145">
        <v>2772.22</v>
      </c>
      <c r="N145">
        <v>1917.83</v>
      </c>
    </row>
    <row r="146" spans="1:15" x14ac:dyDescent="0.25">
      <c r="A146" t="s">
        <v>11</v>
      </c>
      <c r="B146" t="s">
        <v>108</v>
      </c>
      <c r="C146" t="s">
        <v>13</v>
      </c>
      <c r="D146" t="s">
        <v>14</v>
      </c>
      <c r="E146" t="s">
        <v>15</v>
      </c>
      <c r="F146">
        <v>13174.51</v>
      </c>
      <c r="H146">
        <v>6049.45</v>
      </c>
      <c r="J146">
        <v>4539.66</v>
      </c>
      <c r="L146">
        <v>3412.36</v>
      </c>
      <c r="N146">
        <v>2276.6999999999998</v>
      </c>
    </row>
    <row r="147" spans="1:15" x14ac:dyDescent="0.25">
      <c r="A147" t="s">
        <v>11</v>
      </c>
      <c r="B147" t="s">
        <v>109</v>
      </c>
      <c r="C147" t="s">
        <v>13</v>
      </c>
      <c r="D147" t="s">
        <v>14</v>
      </c>
      <c r="E147" t="s">
        <v>15</v>
      </c>
      <c r="F147">
        <v>8246.5499999999993</v>
      </c>
      <c r="H147">
        <v>4839.92</v>
      </c>
      <c r="J147">
        <v>4384.16</v>
      </c>
      <c r="L147">
        <v>3731.56</v>
      </c>
      <c r="N147">
        <v>2952.69</v>
      </c>
    </row>
    <row r="148" spans="1:15" x14ac:dyDescent="0.25">
      <c r="A148" t="s">
        <v>11</v>
      </c>
      <c r="B148" t="s">
        <v>110</v>
      </c>
      <c r="C148" t="s">
        <v>13</v>
      </c>
      <c r="D148" t="s">
        <v>14</v>
      </c>
      <c r="E148" t="s">
        <v>15</v>
      </c>
      <c r="F148">
        <v>9071.99</v>
      </c>
      <c r="H148">
        <v>33176.99</v>
      </c>
      <c r="J148">
        <v>12306.67</v>
      </c>
      <c r="L148">
        <v>12211.52</v>
      </c>
      <c r="N148">
        <v>13061.35</v>
      </c>
    </row>
    <row r="149" spans="1:15" x14ac:dyDescent="0.25">
      <c r="A149" t="s">
        <v>11</v>
      </c>
      <c r="B149" t="s">
        <v>111</v>
      </c>
      <c r="C149" t="s">
        <v>25</v>
      </c>
      <c r="D149" t="s">
        <v>14</v>
      </c>
      <c r="E149" t="s">
        <v>15</v>
      </c>
      <c r="F149">
        <v>7911.8</v>
      </c>
      <c r="H149">
        <v>4428.82</v>
      </c>
      <c r="J149">
        <v>4199.84</v>
      </c>
      <c r="L149">
        <v>2108.84</v>
      </c>
      <c r="N149">
        <v>2215.3200000000002</v>
      </c>
    </row>
    <row r="150" spans="1:15" x14ac:dyDescent="0.25">
      <c r="A150" t="s">
        <v>11</v>
      </c>
      <c r="B150" t="s">
        <v>111</v>
      </c>
      <c r="C150" t="s">
        <v>28</v>
      </c>
      <c r="D150" t="s">
        <v>14</v>
      </c>
      <c r="E150" t="s">
        <v>15</v>
      </c>
      <c r="F150">
        <v>25370.62</v>
      </c>
      <c r="H150">
        <v>11388.11</v>
      </c>
      <c r="J150">
        <v>13335.78</v>
      </c>
      <c r="L150">
        <v>13041.59</v>
      </c>
      <c r="N150">
        <v>12262.13</v>
      </c>
    </row>
    <row r="151" spans="1:15" x14ac:dyDescent="0.25">
      <c r="A151" t="s">
        <v>11</v>
      </c>
      <c r="B151" t="s">
        <v>112</v>
      </c>
      <c r="C151" t="s">
        <v>13</v>
      </c>
      <c r="D151" t="s">
        <v>14</v>
      </c>
      <c r="E151" t="s">
        <v>15</v>
      </c>
      <c r="F151">
        <v>20317.62</v>
      </c>
      <c r="H151">
        <v>24140.92</v>
      </c>
      <c r="J151">
        <v>18925.84</v>
      </c>
      <c r="L151">
        <v>19056.07</v>
      </c>
      <c r="N151">
        <v>19392.009999999998</v>
      </c>
    </row>
    <row r="152" spans="1:15" x14ac:dyDescent="0.25">
      <c r="A152" t="s">
        <v>11</v>
      </c>
      <c r="B152" t="s">
        <v>113</v>
      </c>
      <c r="C152" t="s">
        <v>25</v>
      </c>
      <c r="D152" t="s">
        <v>14</v>
      </c>
      <c r="E152" t="s">
        <v>15</v>
      </c>
      <c r="F152">
        <v>25269.75</v>
      </c>
      <c r="H152">
        <v>27963.66</v>
      </c>
      <c r="J152">
        <v>24688.42</v>
      </c>
      <c r="L152">
        <v>18932.43</v>
      </c>
      <c r="N152">
        <v>21214.2</v>
      </c>
    </row>
    <row r="153" spans="1:15" x14ac:dyDescent="0.25">
      <c r="A153" t="s">
        <v>11</v>
      </c>
      <c r="B153" t="s">
        <v>113</v>
      </c>
      <c r="C153" t="s">
        <v>28</v>
      </c>
      <c r="D153" t="s">
        <v>14</v>
      </c>
      <c r="E153" t="s">
        <v>15</v>
      </c>
      <c r="F153">
        <v>81793.84</v>
      </c>
      <c r="H153">
        <v>83431.710000000006</v>
      </c>
      <c r="J153">
        <v>89372.03</v>
      </c>
      <c r="L153">
        <v>99923.66</v>
      </c>
      <c r="N153">
        <v>131146.60999999999</v>
      </c>
    </row>
    <row r="154" spans="1:15" x14ac:dyDescent="0.25">
      <c r="A154" t="s">
        <v>11</v>
      </c>
      <c r="B154" t="s">
        <v>114</v>
      </c>
      <c r="C154" t="s">
        <v>25</v>
      </c>
      <c r="D154" t="s">
        <v>14</v>
      </c>
      <c r="E154" t="s">
        <v>15</v>
      </c>
      <c r="F154">
        <v>34062.43</v>
      </c>
      <c r="H154">
        <v>28537.98</v>
      </c>
      <c r="J154">
        <v>38713.760000000002</v>
      </c>
      <c r="L154">
        <v>28675.41</v>
      </c>
      <c r="N154">
        <v>32783.42</v>
      </c>
    </row>
    <row r="155" spans="1:15" x14ac:dyDescent="0.25">
      <c r="A155" t="s">
        <v>11</v>
      </c>
      <c r="B155" t="s">
        <v>114</v>
      </c>
      <c r="C155" t="s">
        <v>28</v>
      </c>
      <c r="D155" t="s">
        <v>14</v>
      </c>
      <c r="E155" t="s">
        <v>15</v>
      </c>
      <c r="F155">
        <v>98233.82</v>
      </c>
      <c r="H155">
        <v>113848.75</v>
      </c>
      <c r="J155">
        <v>113358.39999999999</v>
      </c>
      <c r="L155">
        <v>138680.42000000001</v>
      </c>
      <c r="N155">
        <v>141373.98000000001</v>
      </c>
    </row>
    <row r="156" spans="1:15" x14ac:dyDescent="0.25">
      <c r="A156" t="s">
        <v>11</v>
      </c>
      <c r="B156" t="s">
        <v>115</v>
      </c>
      <c r="C156" t="s">
        <v>13</v>
      </c>
      <c r="D156" t="s">
        <v>14</v>
      </c>
      <c r="E156" t="s">
        <v>15</v>
      </c>
      <c r="F156">
        <v>2972.87</v>
      </c>
      <c r="H156">
        <v>22.99</v>
      </c>
      <c r="J156">
        <v>602.39</v>
      </c>
      <c r="L156">
        <v>592.74</v>
      </c>
      <c r="N156">
        <v>605.4</v>
      </c>
    </row>
    <row r="157" spans="1:15" x14ac:dyDescent="0.25">
      <c r="A157" t="s">
        <v>11</v>
      </c>
      <c r="B157" t="s">
        <v>116</v>
      </c>
      <c r="C157" t="s">
        <v>25</v>
      </c>
      <c r="D157" t="s">
        <v>14</v>
      </c>
      <c r="E157" t="s">
        <v>15</v>
      </c>
      <c r="F157">
        <v>3172.74</v>
      </c>
      <c r="H157">
        <v>414.46</v>
      </c>
      <c r="J157">
        <v>18.239999999999998</v>
      </c>
      <c r="L157">
        <v>198.6</v>
      </c>
      <c r="N157">
        <v>184.25</v>
      </c>
    </row>
    <row r="158" spans="1:15" x14ac:dyDescent="0.25">
      <c r="A158" t="s">
        <v>11</v>
      </c>
      <c r="B158" t="s">
        <v>116</v>
      </c>
      <c r="C158" t="s">
        <v>28</v>
      </c>
      <c r="D158" t="s">
        <v>14</v>
      </c>
      <c r="E158" t="s">
        <v>15</v>
      </c>
      <c r="F158">
        <v>17558.88</v>
      </c>
      <c r="H158">
        <v>299.14999999999998</v>
      </c>
      <c r="J158">
        <v>757.43</v>
      </c>
      <c r="L158">
        <v>1073.52</v>
      </c>
      <c r="N158">
        <v>515.86</v>
      </c>
    </row>
    <row r="159" spans="1:15" x14ac:dyDescent="0.25">
      <c r="A159" t="s">
        <v>11</v>
      </c>
      <c r="B159" t="s">
        <v>117</v>
      </c>
      <c r="C159" t="s">
        <v>25</v>
      </c>
      <c r="D159" t="s">
        <v>14</v>
      </c>
      <c r="E159" t="s">
        <v>15</v>
      </c>
      <c r="F159">
        <v>4503.6400000000003</v>
      </c>
      <c r="H159">
        <v>0</v>
      </c>
      <c r="I159" t="s">
        <v>19</v>
      </c>
      <c r="J159">
        <v>0</v>
      </c>
      <c r="K159" t="s">
        <v>19</v>
      </c>
      <c r="L159">
        <v>0</v>
      </c>
      <c r="M159" t="s">
        <v>19</v>
      </c>
      <c r="N159">
        <v>0</v>
      </c>
      <c r="O159" t="s">
        <v>19</v>
      </c>
    </row>
    <row r="160" spans="1:15" x14ac:dyDescent="0.25">
      <c r="A160" t="s">
        <v>11</v>
      </c>
      <c r="B160" t="s">
        <v>117</v>
      </c>
      <c r="C160" t="s">
        <v>28</v>
      </c>
      <c r="D160" t="s">
        <v>14</v>
      </c>
      <c r="E160" t="s">
        <v>15</v>
      </c>
      <c r="F160">
        <v>24438.5</v>
      </c>
      <c r="H160">
        <v>0</v>
      </c>
      <c r="I160" t="s">
        <v>19</v>
      </c>
      <c r="J160">
        <v>0</v>
      </c>
      <c r="K160" t="s">
        <v>19</v>
      </c>
      <c r="L160">
        <v>0</v>
      </c>
      <c r="M160" t="s">
        <v>19</v>
      </c>
      <c r="N160">
        <v>0</v>
      </c>
      <c r="O160" t="s">
        <v>19</v>
      </c>
    </row>
    <row r="161" spans="1:15" x14ac:dyDescent="0.25">
      <c r="A161" t="s">
        <v>11</v>
      </c>
      <c r="B161" t="s">
        <v>118</v>
      </c>
      <c r="C161" t="s">
        <v>25</v>
      </c>
      <c r="D161" t="s">
        <v>14</v>
      </c>
      <c r="E161" t="s">
        <v>15</v>
      </c>
      <c r="F161">
        <v>11173.41</v>
      </c>
      <c r="H161">
        <v>0</v>
      </c>
      <c r="I161" t="s">
        <v>19</v>
      </c>
      <c r="J161">
        <v>0</v>
      </c>
      <c r="K161" t="s">
        <v>19</v>
      </c>
      <c r="L161">
        <v>0</v>
      </c>
      <c r="M161" t="s">
        <v>19</v>
      </c>
      <c r="N161">
        <v>0</v>
      </c>
      <c r="O161" t="s">
        <v>19</v>
      </c>
    </row>
    <row r="162" spans="1:15" x14ac:dyDescent="0.25">
      <c r="A162" t="s">
        <v>11</v>
      </c>
      <c r="B162" t="s">
        <v>118</v>
      </c>
      <c r="C162" t="s">
        <v>28</v>
      </c>
      <c r="D162" t="s">
        <v>14</v>
      </c>
      <c r="E162" t="s">
        <v>15</v>
      </c>
      <c r="F162">
        <v>16420.080000000002</v>
      </c>
      <c r="H162">
        <v>0</v>
      </c>
      <c r="I162" t="s">
        <v>19</v>
      </c>
      <c r="J162">
        <v>0</v>
      </c>
      <c r="K162" t="s">
        <v>19</v>
      </c>
      <c r="L162">
        <v>0</v>
      </c>
      <c r="M162" t="s">
        <v>19</v>
      </c>
      <c r="N162">
        <v>0</v>
      </c>
      <c r="O162" t="s">
        <v>19</v>
      </c>
    </row>
    <row r="163" spans="1:15" x14ac:dyDescent="0.25">
      <c r="A163" t="s">
        <v>11</v>
      </c>
      <c r="B163" t="s">
        <v>119</v>
      </c>
      <c r="C163" t="s">
        <v>25</v>
      </c>
      <c r="D163" t="s">
        <v>14</v>
      </c>
      <c r="E163" t="s">
        <v>15</v>
      </c>
      <c r="F163">
        <v>925.63</v>
      </c>
      <c r="H163">
        <v>892</v>
      </c>
      <c r="J163">
        <v>1631.04</v>
      </c>
      <c r="L163">
        <v>95.41</v>
      </c>
      <c r="N163">
        <v>12.42</v>
      </c>
    </row>
    <row r="164" spans="1:15" x14ac:dyDescent="0.25">
      <c r="A164" t="s">
        <v>11</v>
      </c>
      <c r="B164" t="s">
        <v>119</v>
      </c>
      <c r="C164" t="s">
        <v>28</v>
      </c>
      <c r="D164" t="s">
        <v>14</v>
      </c>
      <c r="E164" t="s">
        <v>15</v>
      </c>
      <c r="F164">
        <v>5586.29</v>
      </c>
      <c r="H164">
        <v>10453.59</v>
      </c>
      <c r="J164">
        <v>10377.540000000001</v>
      </c>
      <c r="L164">
        <v>1640.39</v>
      </c>
      <c r="N164">
        <v>1221.75</v>
      </c>
    </row>
    <row r="165" spans="1:15" x14ac:dyDescent="0.25">
      <c r="A165" t="s">
        <v>11</v>
      </c>
      <c r="B165" t="s">
        <v>120</v>
      </c>
      <c r="C165" t="s">
        <v>25</v>
      </c>
      <c r="D165" t="s">
        <v>14</v>
      </c>
      <c r="E165" t="s">
        <v>15</v>
      </c>
      <c r="F165">
        <v>0</v>
      </c>
      <c r="G165" t="s">
        <v>19</v>
      </c>
      <c r="H165">
        <v>21202.97</v>
      </c>
      <c r="J165">
        <v>22113.4</v>
      </c>
      <c r="L165">
        <v>17625.810000000001</v>
      </c>
      <c r="N165">
        <v>21877.74</v>
      </c>
    </row>
    <row r="166" spans="1:15" x14ac:dyDescent="0.25">
      <c r="A166" t="s">
        <v>11</v>
      </c>
      <c r="B166" t="s">
        <v>120</v>
      </c>
      <c r="C166" t="s">
        <v>28</v>
      </c>
      <c r="D166" t="s">
        <v>14</v>
      </c>
      <c r="E166" t="s">
        <v>15</v>
      </c>
      <c r="F166">
        <v>0</v>
      </c>
      <c r="G166" t="s">
        <v>19</v>
      </c>
      <c r="H166">
        <v>39449.67</v>
      </c>
      <c r="J166">
        <v>29006.45</v>
      </c>
      <c r="L166">
        <v>27719.02</v>
      </c>
      <c r="N166">
        <v>31892.58</v>
      </c>
    </row>
    <row r="167" spans="1:15" x14ac:dyDescent="0.25">
      <c r="A167" t="s">
        <v>11</v>
      </c>
      <c r="B167" t="s">
        <v>121</v>
      </c>
      <c r="C167" t="s">
        <v>13</v>
      </c>
      <c r="D167" t="s">
        <v>14</v>
      </c>
      <c r="E167" t="s">
        <v>15</v>
      </c>
      <c r="F167">
        <v>0</v>
      </c>
      <c r="G167" t="s">
        <v>19</v>
      </c>
      <c r="H167">
        <v>56.8</v>
      </c>
      <c r="J167">
        <v>58.88</v>
      </c>
      <c r="L167">
        <v>30.43</v>
      </c>
      <c r="N167">
        <v>273.20999999999998</v>
      </c>
    </row>
    <row r="168" spans="1:15" x14ac:dyDescent="0.25">
      <c r="A168" t="s">
        <v>11</v>
      </c>
      <c r="B168" t="s">
        <v>121</v>
      </c>
      <c r="C168" t="s">
        <v>25</v>
      </c>
      <c r="D168" t="s">
        <v>14</v>
      </c>
      <c r="E168" t="s">
        <v>15</v>
      </c>
      <c r="F168">
        <v>0</v>
      </c>
      <c r="G168" t="s">
        <v>19</v>
      </c>
      <c r="H168">
        <v>62515.72</v>
      </c>
      <c r="J168">
        <v>44737.54</v>
      </c>
      <c r="L168">
        <v>44302.44</v>
      </c>
      <c r="N168">
        <v>33096.47</v>
      </c>
    </row>
    <row r="169" spans="1:15" x14ac:dyDescent="0.25">
      <c r="A169" t="s">
        <v>11</v>
      </c>
      <c r="B169" t="s">
        <v>121</v>
      </c>
      <c r="C169" t="s">
        <v>28</v>
      </c>
      <c r="D169" t="s">
        <v>14</v>
      </c>
      <c r="E169" t="s">
        <v>15</v>
      </c>
      <c r="F169">
        <v>0</v>
      </c>
      <c r="G169" t="s">
        <v>19</v>
      </c>
      <c r="H169">
        <v>133168.95000000001</v>
      </c>
      <c r="J169">
        <v>148958.91</v>
      </c>
      <c r="L169">
        <v>155293.12</v>
      </c>
      <c r="N169">
        <v>158483.38</v>
      </c>
    </row>
    <row r="170" spans="1:15" x14ac:dyDescent="0.25">
      <c r="A170" t="s">
        <v>11</v>
      </c>
      <c r="B170" t="s">
        <v>122</v>
      </c>
      <c r="C170" t="s">
        <v>25</v>
      </c>
      <c r="D170" t="s">
        <v>14</v>
      </c>
      <c r="E170" t="s">
        <v>15</v>
      </c>
      <c r="F170">
        <v>2710.8</v>
      </c>
      <c r="H170">
        <v>3161.78</v>
      </c>
      <c r="J170">
        <v>3715.81</v>
      </c>
      <c r="L170">
        <v>4266.6899999999996</v>
      </c>
      <c r="N170">
        <v>4476.82</v>
      </c>
    </row>
    <row r="171" spans="1:15" x14ac:dyDescent="0.25">
      <c r="A171" t="s">
        <v>11</v>
      </c>
      <c r="B171" t="s">
        <v>122</v>
      </c>
      <c r="C171" t="s">
        <v>28</v>
      </c>
      <c r="D171" t="s">
        <v>14</v>
      </c>
      <c r="E171" t="s">
        <v>15</v>
      </c>
      <c r="F171">
        <v>14765.35</v>
      </c>
      <c r="H171">
        <v>13810.64</v>
      </c>
      <c r="J171">
        <v>10645.18</v>
      </c>
      <c r="L171">
        <v>12181.56</v>
      </c>
      <c r="N171">
        <v>14880.63</v>
      </c>
    </row>
    <row r="172" spans="1:15" x14ac:dyDescent="0.25">
      <c r="A172" t="s">
        <v>11</v>
      </c>
      <c r="B172" t="s">
        <v>123</v>
      </c>
      <c r="C172" t="s">
        <v>13</v>
      </c>
      <c r="D172" t="s">
        <v>14</v>
      </c>
      <c r="E172" t="s">
        <v>15</v>
      </c>
      <c r="F172">
        <v>0</v>
      </c>
      <c r="G172" t="s">
        <v>19</v>
      </c>
      <c r="H172">
        <v>4888.8900000000003</v>
      </c>
      <c r="J172">
        <v>4351.7700000000004</v>
      </c>
      <c r="L172">
        <v>3848.76</v>
      </c>
      <c r="N172">
        <v>5001.3100000000004</v>
      </c>
    </row>
    <row r="173" spans="1:15" x14ac:dyDescent="0.25">
      <c r="A173" t="s">
        <v>11</v>
      </c>
      <c r="B173" t="s">
        <v>124</v>
      </c>
      <c r="C173" t="s">
        <v>25</v>
      </c>
      <c r="D173" t="s">
        <v>14</v>
      </c>
      <c r="E173" t="s">
        <v>15</v>
      </c>
      <c r="F173">
        <v>0</v>
      </c>
      <c r="G173" t="s">
        <v>19</v>
      </c>
      <c r="H173">
        <v>1021.47</v>
      </c>
      <c r="J173">
        <v>90.82</v>
      </c>
      <c r="L173">
        <v>259.63</v>
      </c>
      <c r="N173">
        <v>307.57</v>
      </c>
    </row>
    <row r="174" spans="1:15" x14ac:dyDescent="0.25">
      <c r="A174" t="s">
        <v>11</v>
      </c>
      <c r="B174" t="s">
        <v>124</v>
      </c>
      <c r="C174" t="s">
        <v>28</v>
      </c>
      <c r="D174" t="s">
        <v>14</v>
      </c>
      <c r="E174" t="s">
        <v>15</v>
      </c>
      <c r="F174">
        <v>0</v>
      </c>
      <c r="G174" t="s">
        <v>19</v>
      </c>
      <c r="H174">
        <v>4023.18</v>
      </c>
      <c r="J174">
        <v>3421.31</v>
      </c>
      <c r="L174">
        <v>4824.2</v>
      </c>
      <c r="N174">
        <v>5217.5</v>
      </c>
    </row>
    <row r="175" spans="1:15" x14ac:dyDescent="0.25">
      <c r="A175" t="s">
        <v>11</v>
      </c>
      <c r="B175" t="s">
        <v>125</v>
      </c>
      <c r="C175" t="s">
        <v>25</v>
      </c>
      <c r="D175" t="s">
        <v>14</v>
      </c>
      <c r="E175" t="s">
        <v>15</v>
      </c>
      <c r="F175">
        <v>29865.040000000001</v>
      </c>
      <c r="H175">
        <v>34429.879999999997</v>
      </c>
      <c r="J175">
        <v>44593.31</v>
      </c>
      <c r="L175">
        <v>32531.200000000001</v>
      </c>
      <c r="N175">
        <v>24406.74</v>
      </c>
    </row>
    <row r="176" spans="1:15" x14ac:dyDescent="0.25">
      <c r="A176" t="s">
        <v>11</v>
      </c>
      <c r="B176" t="s">
        <v>125</v>
      </c>
      <c r="C176" t="s">
        <v>28</v>
      </c>
      <c r="D176" t="s">
        <v>14</v>
      </c>
      <c r="E176" t="s">
        <v>15</v>
      </c>
      <c r="F176">
        <v>28693.05</v>
      </c>
      <c r="H176">
        <v>39993.129999999997</v>
      </c>
      <c r="J176">
        <v>26044.54</v>
      </c>
      <c r="L176">
        <v>28306.01</v>
      </c>
      <c r="N176">
        <v>28724.93</v>
      </c>
    </row>
    <row r="177" spans="1:15" x14ac:dyDescent="0.25">
      <c r="A177" t="s">
        <v>11</v>
      </c>
      <c r="B177" t="s">
        <v>126</v>
      </c>
      <c r="C177" t="s">
        <v>25</v>
      </c>
      <c r="D177" t="s">
        <v>14</v>
      </c>
      <c r="E177" t="s">
        <v>15</v>
      </c>
      <c r="F177">
        <v>3966.23</v>
      </c>
      <c r="H177">
        <v>0</v>
      </c>
      <c r="I177" t="s">
        <v>19</v>
      </c>
      <c r="J177">
        <v>0</v>
      </c>
      <c r="K177" t="s">
        <v>19</v>
      </c>
      <c r="L177">
        <v>0</v>
      </c>
      <c r="M177" t="s">
        <v>19</v>
      </c>
      <c r="N177">
        <v>0</v>
      </c>
      <c r="O177" t="s">
        <v>19</v>
      </c>
    </row>
    <row r="178" spans="1:15" x14ac:dyDescent="0.25">
      <c r="A178" t="s">
        <v>11</v>
      </c>
      <c r="B178" t="s">
        <v>126</v>
      </c>
      <c r="C178" t="s">
        <v>28</v>
      </c>
      <c r="D178" t="s">
        <v>14</v>
      </c>
      <c r="E178" t="s">
        <v>15</v>
      </c>
      <c r="F178">
        <v>22427.99</v>
      </c>
      <c r="H178">
        <v>0</v>
      </c>
      <c r="I178" t="s">
        <v>19</v>
      </c>
      <c r="J178">
        <v>0</v>
      </c>
      <c r="K178" t="s">
        <v>19</v>
      </c>
      <c r="L178">
        <v>0</v>
      </c>
      <c r="M178" t="s">
        <v>19</v>
      </c>
      <c r="N178">
        <v>0</v>
      </c>
      <c r="O178" t="s">
        <v>19</v>
      </c>
    </row>
    <row r="179" spans="1:15" x14ac:dyDescent="0.25">
      <c r="A179" t="s">
        <v>11</v>
      </c>
      <c r="B179" t="s">
        <v>127</v>
      </c>
      <c r="C179" t="s">
        <v>25</v>
      </c>
      <c r="D179" t="s">
        <v>14</v>
      </c>
      <c r="E179" t="s">
        <v>15</v>
      </c>
      <c r="F179">
        <v>0</v>
      </c>
      <c r="G179" t="s">
        <v>19</v>
      </c>
      <c r="H179">
        <v>2365.35</v>
      </c>
      <c r="J179">
        <v>2302.23</v>
      </c>
      <c r="L179">
        <v>3702.15</v>
      </c>
      <c r="N179">
        <v>3413.17</v>
      </c>
    </row>
    <row r="180" spans="1:15" x14ac:dyDescent="0.25">
      <c r="A180" t="s">
        <v>11</v>
      </c>
      <c r="B180" t="s">
        <v>127</v>
      </c>
      <c r="C180" t="s">
        <v>28</v>
      </c>
      <c r="D180" t="s">
        <v>14</v>
      </c>
      <c r="E180" t="s">
        <v>15</v>
      </c>
      <c r="F180">
        <v>0</v>
      </c>
      <c r="G180" t="s">
        <v>19</v>
      </c>
      <c r="H180">
        <v>406.43</v>
      </c>
      <c r="J180">
        <v>9779.73</v>
      </c>
      <c r="L180">
        <v>4521.63</v>
      </c>
      <c r="N180">
        <v>9610.1200000000008</v>
      </c>
    </row>
    <row r="181" spans="1:15" x14ac:dyDescent="0.25">
      <c r="A181" t="s">
        <v>11</v>
      </c>
      <c r="B181" t="s">
        <v>128</v>
      </c>
      <c r="C181" t="s">
        <v>25</v>
      </c>
      <c r="D181" t="s">
        <v>14</v>
      </c>
      <c r="E181" t="s">
        <v>15</v>
      </c>
      <c r="F181">
        <v>1208.99</v>
      </c>
      <c r="H181">
        <v>1409.37</v>
      </c>
      <c r="J181">
        <v>2061</v>
      </c>
      <c r="L181">
        <v>1644.64</v>
      </c>
      <c r="N181">
        <v>1695.29</v>
      </c>
    </row>
    <row r="182" spans="1:15" x14ac:dyDescent="0.25">
      <c r="A182" t="s">
        <v>11</v>
      </c>
      <c r="B182" t="s">
        <v>128</v>
      </c>
      <c r="C182" t="s">
        <v>28</v>
      </c>
      <c r="D182" t="s">
        <v>14</v>
      </c>
      <c r="E182" t="s">
        <v>15</v>
      </c>
      <c r="F182">
        <v>235.68</v>
      </c>
      <c r="H182">
        <v>0</v>
      </c>
      <c r="I182" t="s">
        <v>19</v>
      </c>
      <c r="J182">
        <v>0</v>
      </c>
      <c r="K182" t="s">
        <v>19</v>
      </c>
      <c r="L182">
        <v>0</v>
      </c>
      <c r="M182" t="s">
        <v>19</v>
      </c>
      <c r="N182">
        <v>0</v>
      </c>
      <c r="O182" t="s">
        <v>19</v>
      </c>
    </row>
    <row r="183" spans="1:15" x14ac:dyDescent="0.25">
      <c r="A183" t="s">
        <v>11</v>
      </c>
      <c r="B183" t="s">
        <v>129</v>
      </c>
      <c r="C183" t="s">
        <v>13</v>
      </c>
      <c r="D183" t="s">
        <v>14</v>
      </c>
      <c r="E183" t="s">
        <v>15</v>
      </c>
      <c r="F183">
        <v>0</v>
      </c>
      <c r="G183" t="s">
        <v>19</v>
      </c>
      <c r="H183">
        <v>1798.83</v>
      </c>
      <c r="J183">
        <v>2845.7</v>
      </c>
      <c r="L183">
        <v>3120.57</v>
      </c>
      <c r="N183">
        <v>3527.04</v>
      </c>
    </row>
    <row r="184" spans="1:15" x14ac:dyDescent="0.25">
      <c r="A184" t="s">
        <v>11</v>
      </c>
      <c r="B184" t="s">
        <v>130</v>
      </c>
      <c r="C184" t="s">
        <v>25</v>
      </c>
      <c r="D184" t="s">
        <v>14</v>
      </c>
      <c r="E184" t="s">
        <v>15</v>
      </c>
      <c r="F184">
        <v>40.08</v>
      </c>
      <c r="H184">
        <v>694.72</v>
      </c>
      <c r="J184">
        <v>0.05</v>
      </c>
      <c r="L184">
        <v>253.28</v>
      </c>
      <c r="N184">
        <v>0.3</v>
      </c>
    </row>
    <row r="185" spans="1:15" x14ac:dyDescent="0.25">
      <c r="A185" t="s">
        <v>11</v>
      </c>
      <c r="B185" t="s">
        <v>130</v>
      </c>
      <c r="C185" t="s">
        <v>28</v>
      </c>
      <c r="D185" t="s">
        <v>14</v>
      </c>
      <c r="E185" t="s">
        <v>15</v>
      </c>
      <c r="F185">
        <v>3.5</v>
      </c>
      <c r="H185">
        <v>2296.12</v>
      </c>
      <c r="J185">
        <v>609.22</v>
      </c>
      <c r="L185">
        <v>8.5500000000000007</v>
      </c>
      <c r="N185">
        <v>20.6</v>
      </c>
    </row>
    <row r="186" spans="1:15" x14ac:dyDescent="0.25">
      <c r="A186" t="s">
        <v>11</v>
      </c>
      <c r="B186" t="s">
        <v>131</v>
      </c>
      <c r="C186" t="s">
        <v>28</v>
      </c>
      <c r="D186" t="s">
        <v>14</v>
      </c>
      <c r="E186" t="s">
        <v>15</v>
      </c>
      <c r="F186">
        <v>0</v>
      </c>
      <c r="G186" t="s">
        <v>19</v>
      </c>
      <c r="H186">
        <v>0</v>
      </c>
      <c r="I186" t="s">
        <v>19</v>
      </c>
      <c r="J186">
        <v>0</v>
      </c>
      <c r="K186" t="s">
        <v>19</v>
      </c>
      <c r="L186">
        <v>0</v>
      </c>
      <c r="M186" t="s">
        <v>19</v>
      </c>
      <c r="N186">
        <v>0</v>
      </c>
      <c r="O186" t="s">
        <v>19</v>
      </c>
    </row>
    <row r="187" spans="1:15" x14ac:dyDescent="0.25">
      <c r="A187" t="s">
        <v>11</v>
      </c>
      <c r="B187" t="s">
        <v>132</v>
      </c>
      <c r="C187" t="s">
        <v>13</v>
      </c>
      <c r="D187" t="s">
        <v>14</v>
      </c>
      <c r="E187" t="s">
        <v>15</v>
      </c>
      <c r="F187">
        <v>0</v>
      </c>
      <c r="G187" t="s">
        <v>19</v>
      </c>
      <c r="H187">
        <v>50.21</v>
      </c>
      <c r="J187">
        <v>146.55000000000001</v>
      </c>
      <c r="L187">
        <v>113.17</v>
      </c>
      <c r="N187">
        <v>0</v>
      </c>
      <c r="O187" t="s">
        <v>19</v>
      </c>
    </row>
    <row r="188" spans="1:15" x14ac:dyDescent="0.25">
      <c r="A188" t="s">
        <v>11</v>
      </c>
      <c r="B188" t="s">
        <v>132</v>
      </c>
      <c r="C188" t="s">
        <v>25</v>
      </c>
      <c r="D188" t="s">
        <v>14</v>
      </c>
      <c r="E188" t="s">
        <v>15</v>
      </c>
      <c r="F188">
        <v>0</v>
      </c>
      <c r="G188" t="s">
        <v>19</v>
      </c>
      <c r="H188">
        <v>360.45</v>
      </c>
      <c r="J188">
        <v>362.24</v>
      </c>
      <c r="L188">
        <v>347.5</v>
      </c>
      <c r="N188">
        <v>5.4</v>
      </c>
    </row>
    <row r="189" spans="1:15" x14ac:dyDescent="0.25">
      <c r="A189" t="s">
        <v>11</v>
      </c>
      <c r="B189" t="s">
        <v>132</v>
      </c>
      <c r="C189" t="s">
        <v>28</v>
      </c>
      <c r="D189" t="s">
        <v>14</v>
      </c>
      <c r="E189" t="s">
        <v>15</v>
      </c>
      <c r="F189">
        <v>0</v>
      </c>
      <c r="G189" t="s">
        <v>19</v>
      </c>
      <c r="H189">
        <v>635.41999999999996</v>
      </c>
      <c r="J189">
        <v>1702.8</v>
      </c>
      <c r="L189">
        <v>802.95</v>
      </c>
      <c r="N189">
        <v>1231.95</v>
      </c>
    </row>
    <row r="190" spans="1:15" x14ac:dyDescent="0.25">
      <c r="A190" t="s">
        <v>11</v>
      </c>
      <c r="B190" t="s">
        <v>133</v>
      </c>
      <c r="C190" t="s">
        <v>28</v>
      </c>
      <c r="D190" t="s">
        <v>14</v>
      </c>
      <c r="E190" t="s">
        <v>15</v>
      </c>
      <c r="F190">
        <v>0</v>
      </c>
      <c r="G190" t="s">
        <v>19</v>
      </c>
      <c r="H190">
        <v>490.36</v>
      </c>
      <c r="J190">
        <v>278.04000000000002</v>
      </c>
      <c r="L190">
        <v>143.81</v>
      </c>
      <c r="N190">
        <v>3.15</v>
      </c>
    </row>
    <row r="191" spans="1:15" x14ac:dyDescent="0.25">
      <c r="A191" t="s">
        <v>11</v>
      </c>
      <c r="B191" t="s">
        <v>134</v>
      </c>
      <c r="C191" t="s">
        <v>25</v>
      </c>
      <c r="D191" t="s">
        <v>14</v>
      </c>
      <c r="E191" t="s">
        <v>15</v>
      </c>
      <c r="F191">
        <v>1518.39</v>
      </c>
      <c r="H191">
        <v>78.83</v>
      </c>
      <c r="J191">
        <v>306.87</v>
      </c>
      <c r="L191">
        <v>103.26</v>
      </c>
      <c r="N191">
        <v>453.43</v>
      </c>
    </row>
    <row r="192" spans="1:15" x14ac:dyDescent="0.25">
      <c r="A192" t="s">
        <v>11</v>
      </c>
      <c r="B192" t="s">
        <v>134</v>
      </c>
      <c r="C192" t="s">
        <v>28</v>
      </c>
      <c r="D192" t="s">
        <v>14</v>
      </c>
      <c r="E192" t="s">
        <v>15</v>
      </c>
      <c r="F192">
        <v>7255.24</v>
      </c>
      <c r="H192">
        <v>255.86</v>
      </c>
      <c r="J192">
        <v>1063.56</v>
      </c>
      <c r="L192">
        <v>1283.7</v>
      </c>
      <c r="N192">
        <v>1004.35</v>
      </c>
    </row>
    <row r="193" spans="1:15" x14ac:dyDescent="0.25">
      <c r="A193" t="s">
        <v>11</v>
      </c>
      <c r="B193" t="s">
        <v>135</v>
      </c>
      <c r="C193" t="s">
        <v>13</v>
      </c>
      <c r="D193" t="s">
        <v>14</v>
      </c>
      <c r="E193" t="s">
        <v>15</v>
      </c>
      <c r="F193">
        <v>12203.06</v>
      </c>
      <c r="H193">
        <v>10018.280000000001</v>
      </c>
      <c r="J193">
        <v>6144.94</v>
      </c>
      <c r="L193">
        <v>5252.24</v>
      </c>
      <c r="N193">
        <v>5653.31</v>
      </c>
    </row>
    <row r="194" spans="1:15" x14ac:dyDescent="0.25">
      <c r="A194" t="s">
        <v>11</v>
      </c>
      <c r="B194" t="s">
        <v>136</v>
      </c>
      <c r="C194" t="s">
        <v>25</v>
      </c>
      <c r="D194" t="s">
        <v>14</v>
      </c>
      <c r="E194" t="s">
        <v>15</v>
      </c>
      <c r="F194">
        <v>2089.61</v>
      </c>
      <c r="H194">
        <v>2639.03</v>
      </c>
      <c r="J194">
        <v>3267.45</v>
      </c>
      <c r="L194">
        <v>5104.18</v>
      </c>
      <c r="N194">
        <v>4185.1499999999996</v>
      </c>
    </row>
    <row r="195" spans="1:15" x14ac:dyDescent="0.25">
      <c r="A195" t="s">
        <v>11</v>
      </c>
      <c r="B195" t="s">
        <v>136</v>
      </c>
      <c r="C195" t="s">
        <v>28</v>
      </c>
      <c r="D195" t="s">
        <v>14</v>
      </c>
      <c r="E195" t="s">
        <v>15</v>
      </c>
      <c r="F195">
        <v>8324.6200000000008</v>
      </c>
      <c r="H195">
        <v>4267</v>
      </c>
      <c r="J195">
        <v>2389.41</v>
      </c>
      <c r="L195">
        <v>2578.4299999999998</v>
      </c>
      <c r="N195">
        <v>2943.87</v>
      </c>
    </row>
    <row r="196" spans="1:15" x14ac:dyDescent="0.25">
      <c r="A196" t="s">
        <v>11</v>
      </c>
      <c r="B196" t="s">
        <v>137</v>
      </c>
      <c r="C196" t="s">
        <v>25</v>
      </c>
      <c r="D196" t="s">
        <v>14</v>
      </c>
      <c r="E196" t="s">
        <v>15</v>
      </c>
      <c r="F196">
        <v>2484.87</v>
      </c>
      <c r="H196">
        <v>0</v>
      </c>
      <c r="I196" t="s">
        <v>19</v>
      </c>
      <c r="J196">
        <v>0</v>
      </c>
      <c r="K196" t="s">
        <v>19</v>
      </c>
      <c r="L196">
        <v>0</v>
      </c>
      <c r="M196" t="s">
        <v>19</v>
      </c>
      <c r="N196">
        <v>0</v>
      </c>
      <c r="O196" t="s">
        <v>19</v>
      </c>
    </row>
    <row r="197" spans="1:15" x14ac:dyDescent="0.25">
      <c r="A197" t="s">
        <v>11</v>
      </c>
      <c r="B197" t="s">
        <v>137</v>
      </c>
      <c r="C197" t="s">
        <v>28</v>
      </c>
      <c r="D197" t="s">
        <v>14</v>
      </c>
      <c r="E197" t="s">
        <v>15</v>
      </c>
      <c r="F197">
        <v>17578.77</v>
      </c>
      <c r="H197">
        <v>0</v>
      </c>
      <c r="I197" t="s">
        <v>19</v>
      </c>
      <c r="J197">
        <v>0</v>
      </c>
      <c r="K197" t="s">
        <v>19</v>
      </c>
      <c r="L197">
        <v>0</v>
      </c>
      <c r="M197" t="s">
        <v>19</v>
      </c>
      <c r="N197">
        <v>0</v>
      </c>
      <c r="O197" t="s">
        <v>19</v>
      </c>
    </row>
    <row r="198" spans="1:15" x14ac:dyDescent="0.25">
      <c r="A198" t="s">
        <v>11</v>
      </c>
      <c r="B198" t="s">
        <v>138</v>
      </c>
      <c r="C198" t="s">
        <v>25</v>
      </c>
      <c r="D198" t="s">
        <v>14</v>
      </c>
      <c r="E198" t="s">
        <v>15</v>
      </c>
      <c r="F198">
        <v>16667.62</v>
      </c>
      <c r="H198">
        <v>3707.47</v>
      </c>
      <c r="J198">
        <v>4867.53</v>
      </c>
      <c r="L198">
        <v>3241.45</v>
      </c>
      <c r="N198">
        <v>4322.0200000000004</v>
      </c>
    </row>
    <row r="199" spans="1:15" x14ac:dyDescent="0.25">
      <c r="A199" t="s">
        <v>11</v>
      </c>
      <c r="B199" t="s">
        <v>138</v>
      </c>
      <c r="C199" t="s">
        <v>28</v>
      </c>
      <c r="D199" t="s">
        <v>14</v>
      </c>
      <c r="E199" t="s">
        <v>15</v>
      </c>
      <c r="F199">
        <v>5526.76</v>
      </c>
      <c r="H199">
        <v>4805.3900000000003</v>
      </c>
      <c r="J199">
        <v>6838.37</v>
      </c>
      <c r="L199">
        <v>13090.5</v>
      </c>
      <c r="N199">
        <v>11127.85</v>
      </c>
    </row>
    <row r="200" spans="1:15" x14ac:dyDescent="0.25">
      <c r="A200" t="s">
        <v>11</v>
      </c>
      <c r="B200" t="s">
        <v>139</v>
      </c>
      <c r="C200" t="s">
        <v>25</v>
      </c>
      <c r="D200" t="s">
        <v>14</v>
      </c>
      <c r="E200" t="s">
        <v>15</v>
      </c>
      <c r="F200">
        <v>34802.19</v>
      </c>
      <c r="H200">
        <v>20210.12</v>
      </c>
      <c r="J200">
        <v>18804.7</v>
      </c>
      <c r="L200">
        <v>16150.23</v>
      </c>
      <c r="N200">
        <v>19582.47</v>
      </c>
    </row>
    <row r="201" spans="1:15" x14ac:dyDescent="0.25">
      <c r="A201" t="s">
        <v>11</v>
      </c>
      <c r="B201" t="s">
        <v>139</v>
      </c>
      <c r="C201" t="s">
        <v>28</v>
      </c>
      <c r="D201" t="s">
        <v>14</v>
      </c>
      <c r="E201" t="s">
        <v>15</v>
      </c>
      <c r="F201">
        <v>97113.279999999999</v>
      </c>
      <c r="H201">
        <v>43524.46</v>
      </c>
      <c r="J201">
        <v>45892.06</v>
      </c>
      <c r="L201">
        <v>46142.86</v>
      </c>
      <c r="N201">
        <v>44451.62</v>
      </c>
    </row>
    <row r="202" spans="1:15" x14ac:dyDescent="0.25">
      <c r="A202" t="s">
        <v>11</v>
      </c>
      <c r="B202" t="s">
        <v>140</v>
      </c>
      <c r="C202" t="s">
        <v>25</v>
      </c>
      <c r="D202" t="s">
        <v>14</v>
      </c>
      <c r="E202" t="s">
        <v>15</v>
      </c>
      <c r="F202">
        <v>0</v>
      </c>
      <c r="G202" t="s">
        <v>19</v>
      </c>
      <c r="H202">
        <v>74415.39</v>
      </c>
      <c r="J202">
        <v>94206.41</v>
      </c>
      <c r="L202">
        <v>102616.48</v>
      </c>
      <c r="N202">
        <v>109721.49</v>
      </c>
    </row>
    <row r="203" spans="1:15" x14ac:dyDescent="0.25">
      <c r="A203" t="s">
        <v>11</v>
      </c>
      <c r="B203" t="s">
        <v>140</v>
      </c>
      <c r="C203" t="s">
        <v>28</v>
      </c>
      <c r="D203" t="s">
        <v>14</v>
      </c>
      <c r="E203" t="s">
        <v>15</v>
      </c>
      <c r="F203">
        <v>0</v>
      </c>
      <c r="G203" t="s">
        <v>19</v>
      </c>
      <c r="H203">
        <v>188413.15</v>
      </c>
      <c r="J203">
        <v>176932.39</v>
      </c>
      <c r="L203">
        <v>182494.44</v>
      </c>
      <c r="N203">
        <v>171082.43</v>
      </c>
    </row>
    <row r="204" spans="1:15" x14ac:dyDescent="0.25">
      <c r="A204" t="s">
        <v>11</v>
      </c>
      <c r="B204" t="s">
        <v>141</v>
      </c>
      <c r="C204" t="s">
        <v>25</v>
      </c>
      <c r="D204" t="s">
        <v>14</v>
      </c>
      <c r="E204" t="s">
        <v>15</v>
      </c>
      <c r="F204">
        <v>10885.68</v>
      </c>
      <c r="H204">
        <v>12647.59</v>
      </c>
      <c r="J204">
        <v>17724.28</v>
      </c>
      <c r="L204">
        <v>14096.37</v>
      </c>
      <c r="N204">
        <v>15350.02</v>
      </c>
    </row>
    <row r="205" spans="1:15" x14ac:dyDescent="0.25">
      <c r="A205" t="s">
        <v>11</v>
      </c>
      <c r="B205" t="s">
        <v>141</v>
      </c>
      <c r="C205" t="s">
        <v>28</v>
      </c>
      <c r="D205" t="s">
        <v>14</v>
      </c>
      <c r="E205" t="s">
        <v>15</v>
      </c>
      <c r="F205">
        <v>21608.67</v>
      </c>
      <c r="H205">
        <v>35321.64</v>
      </c>
      <c r="J205">
        <v>26090.99</v>
      </c>
      <c r="L205">
        <v>19182.86</v>
      </c>
      <c r="N205">
        <v>14714.68</v>
      </c>
    </row>
    <row r="206" spans="1:15" x14ac:dyDescent="0.25">
      <c r="A206" t="s">
        <v>11</v>
      </c>
      <c r="B206" t="s">
        <v>142</v>
      </c>
      <c r="C206" t="s">
        <v>25</v>
      </c>
      <c r="D206" t="s">
        <v>14</v>
      </c>
      <c r="E206" t="s">
        <v>15</v>
      </c>
      <c r="F206">
        <v>840.07</v>
      </c>
      <c r="H206">
        <v>1285.74</v>
      </c>
      <c r="J206">
        <v>1582.07</v>
      </c>
      <c r="L206">
        <v>1146.9100000000001</v>
      </c>
      <c r="N206">
        <v>1758.1</v>
      </c>
    </row>
    <row r="207" spans="1:15" x14ac:dyDescent="0.25">
      <c r="A207" t="s">
        <v>11</v>
      </c>
      <c r="B207" t="s">
        <v>142</v>
      </c>
      <c r="C207" t="s">
        <v>28</v>
      </c>
      <c r="D207" t="s">
        <v>14</v>
      </c>
      <c r="E207" t="s">
        <v>15</v>
      </c>
      <c r="F207">
        <v>77</v>
      </c>
      <c r="H207">
        <v>77</v>
      </c>
      <c r="J207">
        <v>77</v>
      </c>
      <c r="L207">
        <v>43</v>
      </c>
      <c r="N207">
        <v>43</v>
      </c>
    </row>
    <row r="208" spans="1:15" x14ac:dyDescent="0.25">
      <c r="A208" t="s">
        <v>11</v>
      </c>
      <c r="B208" t="s">
        <v>143</v>
      </c>
      <c r="C208" t="s">
        <v>13</v>
      </c>
      <c r="D208" t="s">
        <v>14</v>
      </c>
      <c r="E208" t="s">
        <v>15</v>
      </c>
      <c r="F208">
        <v>0</v>
      </c>
      <c r="G208" t="s">
        <v>19</v>
      </c>
      <c r="H208">
        <v>13775.65</v>
      </c>
      <c r="J208">
        <v>11615.51</v>
      </c>
      <c r="L208">
        <v>1419.97</v>
      </c>
      <c r="N208">
        <v>2866.84</v>
      </c>
    </row>
    <row r="209" spans="1:14" x14ac:dyDescent="0.25">
      <c r="A209" t="s">
        <v>11</v>
      </c>
      <c r="B209" t="s">
        <v>143</v>
      </c>
      <c r="C209" t="s">
        <v>25</v>
      </c>
      <c r="D209" t="s">
        <v>14</v>
      </c>
      <c r="E209" t="s">
        <v>15</v>
      </c>
      <c r="F209">
        <v>1821.64</v>
      </c>
      <c r="H209">
        <v>760.26</v>
      </c>
      <c r="J209">
        <v>1083.32</v>
      </c>
      <c r="L209">
        <v>2348.1</v>
      </c>
      <c r="N209">
        <v>1899.49</v>
      </c>
    </row>
    <row r="210" spans="1:14" x14ac:dyDescent="0.25">
      <c r="A210" t="s">
        <v>11</v>
      </c>
      <c r="B210" t="s">
        <v>143</v>
      </c>
      <c r="C210" t="s">
        <v>28</v>
      </c>
      <c r="D210" t="s">
        <v>14</v>
      </c>
      <c r="E210" t="s">
        <v>15</v>
      </c>
      <c r="F210">
        <v>8771.17</v>
      </c>
      <c r="H210">
        <v>13169.28</v>
      </c>
      <c r="J210">
        <v>5048.5200000000004</v>
      </c>
      <c r="L210">
        <v>4127.93</v>
      </c>
      <c r="N210">
        <v>6661.85</v>
      </c>
    </row>
    <row r="211" spans="1:14" x14ac:dyDescent="0.25">
      <c r="A211" t="s">
        <v>11</v>
      </c>
      <c r="B211" t="s">
        <v>144</v>
      </c>
      <c r="C211" t="s">
        <v>13</v>
      </c>
      <c r="D211" t="s">
        <v>14</v>
      </c>
      <c r="E211" t="s">
        <v>15</v>
      </c>
      <c r="F211">
        <v>22161.69</v>
      </c>
      <c r="H211">
        <v>17351.47</v>
      </c>
      <c r="J211">
        <v>15225.91</v>
      </c>
      <c r="L211">
        <v>15058.5</v>
      </c>
      <c r="N211">
        <v>18528.240000000002</v>
      </c>
    </row>
    <row r="212" spans="1:14" x14ac:dyDescent="0.25">
      <c r="A212" t="s">
        <v>11</v>
      </c>
      <c r="B212" t="s">
        <v>145</v>
      </c>
      <c r="C212" t="s">
        <v>25</v>
      </c>
      <c r="D212" t="s">
        <v>14</v>
      </c>
      <c r="E212" t="s">
        <v>15</v>
      </c>
      <c r="F212">
        <v>64330.57</v>
      </c>
      <c r="H212">
        <v>7724.86</v>
      </c>
      <c r="J212">
        <v>6478.59</v>
      </c>
      <c r="L212">
        <v>7945.35</v>
      </c>
      <c r="N212">
        <v>10914.48</v>
      </c>
    </row>
    <row r="213" spans="1:14" x14ac:dyDescent="0.25">
      <c r="A213" t="s">
        <v>11</v>
      </c>
      <c r="B213" t="s">
        <v>145</v>
      </c>
      <c r="C213" t="s">
        <v>28</v>
      </c>
      <c r="D213" t="s">
        <v>14</v>
      </c>
      <c r="E213" t="s">
        <v>15</v>
      </c>
      <c r="F213">
        <v>95322.17</v>
      </c>
      <c r="H213">
        <v>13685.16</v>
      </c>
      <c r="J213">
        <v>26182.29</v>
      </c>
      <c r="L213">
        <v>28598.14</v>
      </c>
      <c r="N213">
        <v>40251.03</v>
      </c>
    </row>
    <row r="214" spans="1:14" x14ac:dyDescent="0.25">
      <c r="A214" t="s">
        <v>11</v>
      </c>
      <c r="B214" t="s">
        <v>146</v>
      </c>
      <c r="C214" t="s">
        <v>25</v>
      </c>
      <c r="D214" t="s">
        <v>14</v>
      </c>
      <c r="E214" t="s">
        <v>15</v>
      </c>
      <c r="F214">
        <v>8384.17</v>
      </c>
      <c r="H214">
        <v>2529.23</v>
      </c>
      <c r="J214">
        <v>42.8</v>
      </c>
      <c r="L214">
        <v>2980.16</v>
      </c>
      <c r="N214">
        <v>2291.46</v>
      </c>
    </row>
    <row r="215" spans="1:14" x14ac:dyDescent="0.25">
      <c r="A215" t="s">
        <v>11</v>
      </c>
      <c r="B215" t="s">
        <v>146</v>
      </c>
      <c r="C215" t="s">
        <v>28</v>
      </c>
      <c r="D215" t="s">
        <v>14</v>
      </c>
      <c r="E215" t="s">
        <v>15</v>
      </c>
      <c r="F215">
        <v>5000</v>
      </c>
      <c r="G215" t="s">
        <v>33</v>
      </c>
      <c r="H215">
        <v>2968.69</v>
      </c>
      <c r="J215">
        <v>17024.61</v>
      </c>
      <c r="L215">
        <v>7983.59</v>
      </c>
      <c r="N215">
        <v>8752.6299999999992</v>
      </c>
    </row>
    <row r="216" spans="1:14" x14ac:dyDescent="0.25">
      <c r="A216" t="s">
        <v>11</v>
      </c>
      <c r="B216" t="s">
        <v>147</v>
      </c>
      <c r="C216" t="s">
        <v>25</v>
      </c>
      <c r="D216" t="s">
        <v>14</v>
      </c>
      <c r="E216" t="s">
        <v>15</v>
      </c>
      <c r="F216">
        <v>1261.3499999999999</v>
      </c>
      <c r="H216">
        <v>1690.52</v>
      </c>
      <c r="J216">
        <v>788.74</v>
      </c>
      <c r="L216">
        <v>1164.72</v>
      </c>
      <c r="N216">
        <v>1435.62</v>
      </c>
    </row>
    <row r="217" spans="1:14" x14ac:dyDescent="0.25">
      <c r="A217" t="s">
        <v>11</v>
      </c>
      <c r="B217" t="s">
        <v>147</v>
      </c>
      <c r="C217" t="s">
        <v>28</v>
      </c>
      <c r="D217" t="s">
        <v>14</v>
      </c>
      <c r="E217" t="s">
        <v>15</v>
      </c>
      <c r="F217">
        <v>3880.02</v>
      </c>
      <c r="H217">
        <v>297.42</v>
      </c>
      <c r="J217">
        <v>3587.17</v>
      </c>
      <c r="L217">
        <v>687.42</v>
      </c>
      <c r="N217">
        <v>10620.17</v>
      </c>
    </row>
    <row r="218" spans="1:14" x14ac:dyDescent="0.25">
      <c r="A218" t="s">
        <v>11</v>
      </c>
      <c r="B218" t="s">
        <v>148</v>
      </c>
      <c r="C218" t="s">
        <v>25</v>
      </c>
      <c r="D218" t="s">
        <v>14</v>
      </c>
      <c r="E218" t="s">
        <v>15</v>
      </c>
      <c r="F218">
        <v>49919.74</v>
      </c>
      <c r="H218">
        <v>42415.21</v>
      </c>
      <c r="J218">
        <v>56325.67</v>
      </c>
      <c r="L218">
        <v>44953.29</v>
      </c>
      <c r="N218">
        <v>49190.91</v>
      </c>
    </row>
    <row r="219" spans="1:14" x14ac:dyDescent="0.25">
      <c r="A219" t="s">
        <v>11</v>
      </c>
      <c r="B219" t="s">
        <v>148</v>
      </c>
      <c r="C219" t="s">
        <v>28</v>
      </c>
      <c r="D219" t="s">
        <v>14</v>
      </c>
      <c r="E219" t="s">
        <v>15</v>
      </c>
      <c r="F219">
        <v>97585.35</v>
      </c>
      <c r="H219">
        <v>87537.11</v>
      </c>
      <c r="J219">
        <v>91820.75</v>
      </c>
      <c r="L219">
        <v>101649.29</v>
      </c>
      <c r="N219">
        <v>107118.02</v>
      </c>
    </row>
    <row r="220" spans="1:14" x14ac:dyDescent="0.25">
      <c r="A220" t="s">
        <v>11</v>
      </c>
      <c r="B220" t="s">
        <v>149</v>
      </c>
      <c r="C220" t="s">
        <v>13</v>
      </c>
      <c r="D220" t="s">
        <v>14</v>
      </c>
      <c r="E220" t="s">
        <v>15</v>
      </c>
      <c r="F220">
        <v>10902.13</v>
      </c>
      <c r="H220">
        <v>17519.990000000002</v>
      </c>
      <c r="J220">
        <v>15488.92</v>
      </c>
      <c r="L220">
        <v>17734.689999999999</v>
      </c>
      <c r="N220">
        <v>18418.419999999998</v>
      </c>
    </row>
    <row r="221" spans="1:14" x14ac:dyDescent="0.25">
      <c r="A221" t="s">
        <v>11</v>
      </c>
      <c r="B221" t="s">
        <v>150</v>
      </c>
      <c r="C221" t="s">
        <v>13</v>
      </c>
      <c r="D221" t="s">
        <v>14</v>
      </c>
      <c r="E221" t="s">
        <v>15</v>
      </c>
      <c r="F221">
        <v>0</v>
      </c>
      <c r="G221" t="s">
        <v>19</v>
      </c>
      <c r="H221">
        <v>5.58</v>
      </c>
      <c r="J221">
        <v>15.42</v>
      </c>
      <c r="L221">
        <v>7.32</v>
      </c>
      <c r="N221">
        <v>5.01</v>
      </c>
    </row>
    <row r="222" spans="1:14" x14ac:dyDescent="0.25">
      <c r="A222" t="s">
        <v>11</v>
      </c>
      <c r="B222" t="s">
        <v>151</v>
      </c>
      <c r="C222" t="s">
        <v>13</v>
      </c>
      <c r="D222" t="s">
        <v>14</v>
      </c>
      <c r="E222" t="s">
        <v>15</v>
      </c>
      <c r="F222">
        <v>0</v>
      </c>
      <c r="G222" t="s">
        <v>19</v>
      </c>
      <c r="H222">
        <v>14518.32</v>
      </c>
      <c r="J222">
        <v>2639.23</v>
      </c>
      <c r="L222">
        <v>3754.69</v>
      </c>
      <c r="N222">
        <v>3170.55</v>
      </c>
    </row>
    <row r="223" spans="1:14" x14ac:dyDescent="0.25">
      <c r="A223" t="s">
        <v>11</v>
      </c>
      <c r="B223" t="s">
        <v>152</v>
      </c>
      <c r="C223" t="s">
        <v>25</v>
      </c>
      <c r="D223" t="s">
        <v>14</v>
      </c>
      <c r="E223" t="s">
        <v>15</v>
      </c>
      <c r="F223">
        <v>3287.05</v>
      </c>
      <c r="H223">
        <v>743.01</v>
      </c>
      <c r="J223">
        <v>561.58000000000004</v>
      </c>
      <c r="L223">
        <v>592.48</v>
      </c>
      <c r="N223">
        <v>783.86</v>
      </c>
    </row>
    <row r="224" spans="1:14" x14ac:dyDescent="0.25">
      <c r="A224" t="s">
        <v>11</v>
      </c>
      <c r="B224" t="s">
        <v>152</v>
      </c>
      <c r="C224" t="s">
        <v>28</v>
      </c>
      <c r="D224" t="s">
        <v>14</v>
      </c>
      <c r="E224" t="s">
        <v>15</v>
      </c>
      <c r="F224">
        <v>37358.980000000003</v>
      </c>
      <c r="H224">
        <v>5678.22</v>
      </c>
      <c r="J224">
        <v>9872.76</v>
      </c>
      <c r="L224">
        <v>10876.79</v>
      </c>
      <c r="N224">
        <v>11377.38</v>
      </c>
    </row>
    <row r="225" spans="1:15" x14ac:dyDescent="0.25">
      <c r="A225" t="s">
        <v>11</v>
      </c>
      <c r="B225" t="s">
        <v>153</v>
      </c>
      <c r="C225" t="s">
        <v>25</v>
      </c>
      <c r="D225" t="s">
        <v>14</v>
      </c>
      <c r="E225" t="s">
        <v>15</v>
      </c>
      <c r="F225">
        <v>0</v>
      </c>
      <c r="G225" t="s">
        <v>19</v>
      </c>
      <c r="H225">
        <v>11099.18</v>
      </c>
      <c r="J225">
        <v>9248.7800000000007</v>
      </c>
      <c r="L225">
        <v>3296.7</v>
      </c>
      <c r="N225">
        <v>2541.4299999999998</v>
      </c>
    </row>
    <row r="226" spans="1:15" x14ac:dyDescent="0.25">
      <c r="A226" t="s">
        <v>11</v>
      </c>
      <c r="B226" t="s">
        <v>153</v>
      </c>
      <c r="C226" t="s">
        <v>28</v>
      </c>
      <c r="D226" t="s">
        <v>14</v>
      </c>
      <c r="E226" t="s">
        <v>15</v>
      </c>
      <c r="F226">
        <v>0</v>
      </c>
      <c r="G226" t="s">
        <v>19</v>
      </c>
      <c r="H226">
        <v>19301.78</v>
      </c>
      <c r="J226">
        <v>17482.62</v>
      </c>
      <c r="L226">
        <v>23895.22</v>
      </c>
      <c r="N226">
        <v>20056.88</v>
      </c>
    </row>
    <row r="227" spans="1:15" x14ac:dyDescent="0.25">
      <c r="A227" t="s">
        <v>11</v>
      </c>
      <c r="B227" t="s">
        <v>154</v>
      </c>
      <c r="C227" t="s">
        <v>13</v>
      </c>
      <c r="D227" t="s">
        <v>14</v>
      </c>
      <c r="E227" t="s">
        <v>15</v>
      </c>
      <c r="F227">
        <v>953.28</v>
      </c>
      <c r="H227">
        <v>103.34</v>
      </c>
      <c r="J227">
        <v>43.71</v>
      </c>
      <c r="L227">
        <v>37.049999999999997</v>
      </c>
      <c r="N227">
        <v>27.83</v>
      </c>
    </row>
    <row r="228" spans="1:15" x14ac:dyDescent="0.25">
      <c r="A228" t="s">
        <v>11</v>
      </c>
      <c r="B228" t="s">
        <v>155</v>
      </c>
      <c r="C228" t="s">
        <v>25</v>
      </c>
      <c r="D228" t="s">
        <v>14</v>
      </c>
      <c r="E228" t="s">
        <v>15</v>
      </c>
      <c r="F228">
        <v>0</v>
      </c>
      <c r="G228" t="s">
        <v>19</v>
      </c>
      <c r="H228">
        <v>59</v>
      </c>
      <c r="J228">
        <v>57</v>
      </c>
      <c r="L228">
        <v>1.3</v>
      </c>
      <c r="N228">
        <v>2.76</v>
      </c>
    </row>
    <row r="229" spans="1:15" x14ac:dyDescent="0.25">
      <c r="A229" t="s">
        <v>11</v>
      </c>
      <c r="B229" t="s">
        <v>155</v>
      </c>
      <c r="C229" t="s">
        <v>28</v>
      </c>
      <c r="D229" t="s">
        <v>14</v>
      </c>
      <c r="E229" t="s">
        <v>15</v>
      </c>
      <c r="F229">
        <v>0</v>
      </c>
      <c r="G229" t="s">
        <v>19</v>
      </c>
      <c r="H229">
        <v>186.57</v>
      </c>
      <c r="J229">
        <v>252.21</v>
      </c>
      <c r="L229">
        <v>322.89</v>
      </c>
      <c r="N229">
        <v>145.52000000000001</v>
      </c>
    </row>
    <row r="230" spans="1:15" x14ac:dyDescent="0.25">
      <c r="A230" t="s">
        <v>11</v>
      </c>
      <c r="B230" t="s">
        <v>156</v>
      </c>
      <c r="C230" t="s">
        <v>25</v>
      </c>
      <c r="D230" t="s">
        <v>14</v>
      </c>
      <c r="E230" t="s">
        <v>15</v>
      </c>
      <c r="F230">
        <v>24451.16</v>
      </c>
      <c r="H230">
        <v>25859.66</v>
      </c>
      <c r="J230">
        <v>33295.360000000001</v>
      </c>
      <c r="L230">
        <v>26498.95</v>
      </c>
      <c r="N230">
        <v>35963.089999999997</v>
      </c>
    </row>
    <row r="231" spans="1:15" x14ac:dyDescent="0.25">
      <c r="A231" t="s">
        <v>11</v>
      </c>
      <c r="B231" t="s">
        <v>156</v>
      </c>
      <c r="C231" t="s">
        <v>28</v>
      </c>
      <c r="D231" t="s">
        <v>14</v>
      </c>
      <c r="E231" t="s">
        <v>15</v>
      </c>
      <c r="F231">
        <v>160197.51999999999</v>
      </c>
      <c r="H231">
        <v>106783.73</v>
      </c>
      <c r="J231">
        <v>122063.45</v>
      </c>
      <c r="L231">
        <v>181684.99</v>
      </c>
      <c r="N231">
        <v>165636.65</v>
      </c>
    </row>
    <row r="232" spans="1:15" x14ac:dyDescent="0.25">
      <c r="A232" t="s">
        <v>11</v>
      </c>
      <c r="B232" t="s">
        <v>157</v>
      </c>
      <c r="C232" t="s">
        <v>25</v>
      </c>
      <c r="D232" t="s">
        <v>14</v>
      </c>
      <c r="E232" t="s">
        <v>15</v>
      </c>
      <c r="F232">
        <v>19.95</v>
      </c>
      <c r="H232">
        <v>23.25</v>
      </c>
      <c r="J232">
        <v>34.01</v>
      </c>
      <c r="L232">
        <v>27.14</v>
      </c>
      <c r="N232">
        <v>27.97</v>
      </c>
    </row>
    <row r="233" spans="1:15" x14ac:dyDescent="0.25">
      <c r="A233" t="s">
        <v>11</v>
      </c>
      <c r="B233" t="s">
        <v>157</v>
      </c>
      <c r="C233" t="s">
        <v>28</v>
      </c>
      <c r="D233" t="s">
        <v>14</v>
      </c>
      <c r="E233" t="s">
        <v>15</v>
      </c>
      <c r="F233">
        <v>0</v>
      </c>
      <c r="G233" t="s">
        <v>19</v>
      </c>
      <c r="H233">
        <v>0</v>
      </c>
      <c r="I233" t="s">
        <v>19</v>
      </c>
      <c r="J233">
        <v>0</v>
      </c>
      <c r="K233" t="s">
        <v>19</v>
      </c>
      <c r="L233">
        <v>0</v>
      </c>
      <c r="M233" t="s">
        <v>19</v>
      </c>
      <c r="N233">
        <v>0</v>
      </c>
      <c r="O233" t="s">
        <v>19</v>
      </c>
    </row>
    <row r="234" spans="1:15" x14ac:dyDescent="0.25">
      <c r="A234" t="s">
        <v>11</v>
      </c>
      <c r="B234" t="s">
        <v>158</v>
      </c>
      <c r="C234" t="s">
        <v>25</v>
      </c>
      <c r="D234" t="s">
        <v>14</v>
      </c>
      <c r="E234" t="s">
        <v>15</v>
      </c>
      <c r="F234">
        <v>634.52</v>
      </c>
      <c r="H234">
        <v>739.69</v>
      </c>
      <c r="J234">
        <v>1081.69</v>
      </c>
      <c r="L234">
        <v>863.17</v>
      </c>
      <c r="N234">
        <v>889.75</v>
      </c>
    </row>
    <row r="235" spans="1:15" x14ac:dyDescent="0.25">
      <c r="A235" t="s">
        <v>11</v>
      </c>
      <c r="B235" t="s">
        <v>159</v>
      </c>
      <c r="C235" t="s">
        <v>13</v>
      </c>
      <c r="D235" t="s">
        <v>14</v>
      </c>
      <c r="E235" t="s">
        <v>15</v>
      </c>
      <c r="F235">
        <v>206.22</v>
      </c>
      <c r="H235">
        <v>219.49</v>
      </c>
      <c r="J235">
        <v>344.02</v>
      </c>
      <c r="L235">
        <v>457.43</v>
      </c>
      <c r="N235">
        <v>1153.94</v>
      </c>
    </row>
    <row r="236" spans="1:15" x14ac:dyDescent="0.25">
      <c r="A236" t="s">
        <v>11</v>
      </c>
      <c r="B236" t="s">
        <v>160</v>
      </c>
      <c r="C236" t="s">
        <v>25</v>
      </c>
      <c r="D236" t="s">
        <v>14</v>
      </c>
      <c r="E236" t="s">
        <v>15</v>
      </c>
      <c r="F236">
        <v>369.11</v>
      </c>
      <c r="H236">
        <v>39.19</v>
      </c>
      <c r="J236">
        <v>92.06</v>
      </c>
      <c r="L236">
        <v>2.1</v>
      </c>
      <c r="N236">
        <v>0</v>
      </c>
      <c r="O236" t="s">
        <v>19</v>
      </c>
    </row>
    <row r="237" spans="1:15" x14ac:dyDescent="0.25">
      <c r="A237" t="s">
        <v>11</v>
      </c>
      <c r="B237" t="s">
        <v>160</v>
      </c>
      <c r="C237" t="s">
        <v>28</v>
      </c>
      <c r="D237" t="s">
        <v>14</v>
      </c>
      <c r="E237" t="s">
        <v>15</v>
      </c>
      <c r="F237">
        <v>1904.03</v>
      </c>
      <c r="H237">
        <v>469.37</v>
      </c>
      <c r="J237">
        <v>33.270000000000003</v>
      </c>
      <c r="L237">
        <v>30.27</v>
      </c>
      <c r="N237">
        <v>35</v>
      </c>
    </row>
    <row r="238" spans="1:15" x14ac:dyDescent="0.25">
      <c r="A238" t="s">
        <v>11</v>
      </c>
      <c r="B238" t="s">
        <v>161</v>
      </c>
      <c r="C238" t="s">
        <v>25</v>
      </c>
      <c r="D238" t="s">
        <v>14</v>
      </c>
      <c r="E238" t="s">
        <v>15</v>
      </c>
      <c r="F238">
        <v>0</v>
      </c>
      <c r="G238" t="s">
        <v>19</v>
      </c>
      <c r="H238">
        <v>5930.05</v>
      </c>
      <c r="J238">
        <v>5141.1400000000003</v>
      </c>
      <c r="L238">
        <v>4143.18</v>
      </c>
      <c r="N238">
        <v>4552.3599999999997</v>
      </c>
    </row>
    <row r="239" spans="1:15" x14ac:dyDescent="0.25">
      <c r="A239" t="s">
        <v>11</v>
      </c>
      <c r="B239" t="s">
        <v>161</v>
      </c>
      <c r="C239" t="s">
        <v>28</v>
      </c>
      <c r="D239" t="s">
        <v>14</v>
      </c>
      <c r="E239" t="s">
        <v>15</v>
      </c>
      <c r="F239">
        <v>0</v>
      </c>
      <c r="G239" t="s">
        <v>19</v>
      </c>
      <c r="H239">
        <v>54342.58</v>
      </c>
      <c r="J239">
        <v>39218.120000000003</v>
      </c>
      <c r="L239">
        <v>32805.32</v>
      </c>
      <c r="N239">
        <v>43828.95</v>
      </c>
    </row>
    <row r="240" spans="1:15" x14ac:dyDescent="0.25">
      <c r="A240" t="s">
        <v>11</v>
      </c>
      <c r="B240" t="s">
        <v>162</v>
      </c>
      <c r="C240" t="s">
        <v>25</v>
      </c>
      <c r="D240" t="s">
        <v>14</v>
      </c>
      <c r="E240" t="s">
        <v>15</v>
      </c>
      <c r="F240">
        <v>1000</v>
      </c>
      <c r="G240" t="s">
        <v>33</v>
      </c>
      <c r="H240">
        <v>2402.2600000000002</v>
      </c>
      <c r="J240">
        <v>1299.54</v>
      </c>
      <c r="L240">
        <v>539.80999999999995</v>
      </c>
      <c r="N240">
        <v>325.14999999999998</v>
      </c>
    </row>
    <row r="241" spans="1:15" x14ac:dyDescent="0.25">
      <c r="A241" t="s">
        <v>11</v>
      </c>
      <c r="B241" t="s">
        <v>162</v>
      </c>
      <c r="C241" t="s">
        <v>28</v>
      </c>
      <c r="D241" t="s">
        <v>14</v>
      </c>
      <c r="E241" t="s">
        <v>15</v>
      </c>
      <c r="F241">
        <v>3200</v>
      </c>
      <c r="G241" t="s">
        <v>33</v>
      </c>
      <c r="H241">
        <v>1565.91</v>
      </c>
      <c r="J241">
        <v>1430.98</v>
      </c>
      <c r="L241">
        <v>2746.09</v>
      </c>
      <c r="N241">
        <v>2614.36</v>
      </c>
    </row>
    <row r="242" spans="1:15" x14ac:dyDescent="0.25">
      <c r="A242" t="s">
        <v>11</v>
      </c>
      <c r="B242" t="s">
        <v>163</v>
      </c>
      <c r="C242" t="s">
        <v>25</v>
      </c>
      <c r="D242" t="s">
        <v>14</v>
      </c>
      <c r="E242" t="s">
        <v>15</v>
      </c>
      <c r="F242">
        <v>343664.77</v>
      </c>
      <c r="G242" t="s">
        <v>33</v>
      </c>
      <c r="H242">
        <v>60482.74</v>
      </c>
      <c r="I242" t="s">
        <v>33</v>
      </c>
      <c r="J242">
        <v>21730.06</v>
      </c>
      <c r="K242" t="s">
        <v>33</v>
      </c>
      <c r="L242">
        <v>3276.66</v>
      </c>
      <c r="M242" t="s">
        <v>33</v>
      </c>
      <c r="N242">
        <v>4410.4399999999996</v>
      </c>
      <c r="O242" t="s">
        <v>33</v>
      </c>
    </row>
    <row r="243" spans="1:15" x14ac:dyDescent="0.25">
      <c r="A243" t="s">
        <v>11</v>
      </c>
      <c r="B243" t="s">
        <v>163</v>
      </c>
      <c r="C243" t="s">
        <v>28</v>
      </c>
      <c r="D243" t="s">
        <v>14</v>
      </c>
      <c r="E243" t="s">
        <v>15</v>
      </c>
      <c r="F243">
        <v>766568.42</v>
      </c>
      <c r="G243" t="s">
        <v>33</v>
      </c>
      <c r="H243">
        <v>240504.06</v>
      </c>
      <c r="I243" t="s">
        <v>33</v>
      </c>
      <c r="J243">
        <v>147029.62</v>
      </c>
      <c r="K243" t="s">
        <v>33</v>
      </c>
      <c r="L243">
        <v>179629.93</v>
      </c>
      <c r="M243" t="s">
        <v>33</v>
      </c>
      <c r="N243">
        <v>226351.46</v>
      </c>
      <c r="O243" t="s">
        <v>33</v>
      </c>
    </row>
    <row r="244" spans="1:15" x14ac:dyDescent="0.25">
      <c r="A244" t="s">
        <v>11</v>
      </c>
      <c r="B244" t="s">
        <v>164</v>
      </c>
      <c r="C244" t="s">
        <v>25</v>
      </c>
      <c r="D244" t="s">
        <v>14</v>
      </c>
      <c r="E244" t="s">
        <v>15</v>
      </c>
      <c r="F244">
        <v>115.38</v>
      </c>
      <c r="H244">
        <v>181.29</v>
      </c>
      <c r="J244">
        <v>5948.18</v>
      </c>
      <c r="L244">
        <v>14598.6</v>
      </c>
      <c r="N244">
        <v>788.88</v>
      </c>
    </row>
    <row r="245" spans="1:15" x14ac:dyDescent="0.25">
      <c r="A245" t="s">
        <v>11</v>
      </c>
      <c r="B245" t="s">
        <v>164</v>
      </c>
      <c r="C245" t="s">
        <v>28</v>
      </c>
      <c r="D245" t="s">
        <v>14</v>
      </c>
      <c r="E245" t="s">
        <v>15</v>
      </c>
      <c r="F245">
        <v>1848.24</v>
      </c>
      <c r="H245">
        <v>30.44</v>
      </c>
      <c r="J245">
        <v>1566.08</v>
      </c>
      <c r="L245">
        <v>4264.07</v>
      </c>
      <c r="N245">
        <v>390.18</v>
      </c>
    </row>
    <row r="246" spans="1:15" x14ac:dyDescent="0.25">
      <c r="A246" t="s">
        <v>11</v>
      </c>
      <c r="B246" t="s">
        <v>165</v>
      </c>
      <c r="C246" t="s">
        <v>25</v>
      </c>
      <c r="D246" t="s">
        <v>14</v>
      </c>
      <c r="E246" t="s">
        <v>15</v>
      </c>
      <c r="F246">
        <v>0.26</v>
      </c>
      <c r="H246">
        <v>0</v>
      </c>
      <c r="I246" t="s">
        <v>19</v>
      </c>
      <c r="J246">
        <v>0</v>
      </c>
      <c r="K246" t="s">
        <v>19</v>
      </c>
      <c r="L246">
        <v>0</v>
      </c>
      <c r="M246" t="s">
        <v>19</v>
      </c>
      <c r="N246">
        <v>0</v>
      </c>
      <c r="O246" t="s">
        <v>19</v>
      </c>
    </row>
    <row r="247" spans="1:15" x14ac:dyDescent="0.25">
      <c r="A247" t="s">
        <v>11</v>
      </c>
      <c r="B247" t="s">
        <v>165</v>
      </c>
      <c r="C247" t="s">
        <v>28</v>
      </c>
      <c r="D247" t="s">
        <v>14</v>
      </c>
      <c r="E247" t="s">
        <v>15</v>
      </c>
      <c r="F247">
        <v>40</v>
      </c>
      <c r="G247" t="s">
        <v>33</v>
      </c>
      <c r="H247">
        <v>0</v>
      </c>
      <c r="I247" t="s">
        <v>19</v>
      </c>
      <c r="J247">
        <v>10.1</v>
      </c>
      <c r="L247">
        <v>3.5</v>
      </c>
      <c r="N247">
        <v>0</v>
      </c>
    </row>
    <row r="248" spans="1:15" x14ac:dyDescent="0.25">
      <c r="A248" t="s">
        <v>11</v>
      </c>
      <c r="B248" t="s">
        <v>166</v>
      </c>
      <c r="C248" t="s">
        <v>25</v>
      </c>
      <c r="D248" t="s">
        <v>14</v>
      </c>
      <c r="E248" t="s">
        <v>15</v>
      </c>
      <c r="F248">
        <v>0</v>
      </c>
      <c r="H248">
        <v>0</v>
      </c>
      <c r="J248">
        <v>0</v>
      </c>
      <c r="L248">
        <v>0</v>
      </c>
      <c r="N248">
        <v>0</v>
      </c>
    </row>
    <row r="249" spans="1:15" x14ac:dyDescent="0.25">
      <c r="A249" t="s">
        <v>11</v>
      </c>
      <c r="B249" t="s">
        <v>166</v>
      </c>
      <c r="C249" t="s">
        <v>28</v>
      </c>
      <c r="D249" t="s">
        <v>14</v>
      </c>
      <c r="E249" t="s">
        <v>15</v>
      </c>
      <c r="F249">
        <v>0</v>
      </c>
      <c r="G249" t="s">
        <v>19</v>
      </c>
      <c r="H249">
        <v>2.44</v>
      </c>
      <c r="J249">
        <v>36.200000000000003</v>
      </c>
      <c r="L249">
        <v>18.16</v>
      </c>
      <c r="N249">
        <v>27.15</v>
      </c>
    </row>
    <row r="250" spans="1:15" x14ac:dyDescent="0.25">
      <c r="A250" t="s">
        <v>11</v>
      </c>
      <c r="B250" t="s">
        <v>167</v>
      </c>
      <c r="C250" t="s">
        <v>25</v>
      </c>
      <c r="D250" t="s">
        <v>14</v>
      </c>
      <c r="E250" t="s">
        <v>15</v>
      </c>
      <c r="F250">
        <v>34415.33</v>
      </c>
      <c r="H250">
        <v>19926.439999999999</v>
      </c>
      <c r="J250">
        <v>16540.71</v>
      </c>
      <c r="L250">
        <v>15810.69</v>
      </c>
      <c r="N250">
        <v>15137.09</v>
      </c>
    </row>
    <row r="251" spans="1:15" x14ac:dyDescent="0.25">
      <c r="A251" t="s">
        <v>11</v>
      </c>
      <c r="B251" t="s">
        <v>167</v>
      </c>
      <c r="C251" t="s">
        <v>28</v>
      </c>
      <c r="D251" t="s">
        <v>14</v>
      </c>
      <c r="E251" t="s">
        <v>15</v>
      </c>
      <c r="F251">
        <v>101665.12</v>
      </c>
      <c r="H251">
        <v>42772.79</v>
      </c>
      <c r="J251">
        <v>60234.86</v>
      </c>
      <c r="L251">
        <v>79281.399999999994</v>
      </c>
      <c r="N251">
        <v>80368.47</v>
      </c>
    </row>
    <row r="252" spans="1:15" x14ac:dyDescent="0.25">
      <c r="A252" t="s">
        <v>11</v>
      </c>
      <c r="B252" t="s">
        <v>168</v>
      </c>
      <c r="C252" t="s">
        <v>13</v>
      </c>
      <c r="D252" t="s">
        <v>14</v>
      </c>
      <c r="E252" t="s">
        <v>15</v>
      </c>
      <c r="F252">
        <v>0</v>
      </c>
      <c r="G252" t="s">
        <v>19</v>
      </c>
      <c r="H252">
        <v>49.87</v>
      </c>
      <c r="J252">
        <v>18.989999999999998</v>
      </c>
      <c r="L252">
        <v>320.7</v>
      </c>
      <c r="N252">
        <v>62.6</v>
      </c>
    </row>
    <row r="253" spans="1:15" x14ac:dyDescent="0.25">
      <c r="A253" t="s">
        <v>11</v>
      </c>
      <c r="B253" t="s">
        <v>168</v>
      </c>
      <c r="C253" t="s">
        <v>25</v>
      </c>
      <c r="D253" t="s">
        <v>14</v>
      </c>
      <c r="E253" t="s">
        <v>15</v>
      </c>
      <c r="F253">
        <v>0</v>
      </c>
      <c r="G253" t="s">
        <v>19</v>
      </c>
      <c r="H253">
        <v>991.32</v>
      </c>
      <c r="J253">
        <v>1833.05</v>
      </c>
      <c r="L253">
        <v>1187.24</v>
      </c>
      <c r="N253">
        <v>1194.47</v>
      </c>
    </row>
    <row r="254" spans="1:15" x14ac:dyDescent="0.25">
      <c r="A254" t="s">
        <v>11</v>
      </c>
      <c r="B254" t="s">
        <v>168</v>
      </c>
      <c r="C254" t="s">
        <v>28</v>
      </c>
      <c r="D254" t="s">
        <v>14</v>
      </c>
      <c r="E254" t="s">
        <v>15</v>
      </c>
      <c r="F254">
        <v>0</v>
      </c>
      <c r="G254" t="s">
        <v>19</v>
      </c>
      <c r="H254">
        <v>1313.2</v>
      </c>
      <c r="J254">
        <v>988.69</v>
      </c>
      <c r="L254">
        <v>1587.2</v>
      </c>
      <c r="N254">
        <v>3454.98</v>
      </c>
    </row>
    <row r="255" spans="1:15" x14ac:dyDescent="0.25">
      <c r="A255" t="s">
        <v>11</v>
      </c>
      <c r="B255" t="s">
        <v>169</v>
      </c>
      <c r="C255" t="s">
        <v>25</v>
      </c>
      <c r="D255" t="s">
        <v>14</v>
      </c>
      <c r="E255" t="s">
        <v>15</v>
      </c>
      <c r="F255">
        <v>0</v>
      </c>
      <c r="G255" t="s">
        <v>19</v>
      </c>
      <c r="H255">
        <v>8820.2000000000007</v>
      </c>
      <c r="J255">
        <v>10986.81</v>
      </c>
      <c r="L255">
        <v>9903.59</v>
      </c>
      <c r="N255">
        <v>12381.38</v>
      </c>
    </row>
    <row r="256" spans="1:15" x14ac:dyDescent="0.25">
      <c r="A256" t="s">
        <v>11</v>
      </c>
      <c r="B256" t="s">
        <v>169</v>
      </c>
      <c r="C256" t="s">
        <v>28</v>
      </c>
      <c r="D256" t="s">
        <v>14</v>
      </c>
      <c r="E256" t="s">
        <v>15</v>
      </c>
      <c r="F256">
        <v>0</v>
      </c>
      <c r="G256" t="s">
        <v>19</v>
      </c>
      <c r="H256">
        <v>12802.97</v>
      </c>
      <c r="J256">
        <v>13859.09</v>
      </c>
      <c r="L256">
        <v>13003.37</v>
      </c>
      <c r="N256">
        <v>13146.89</v>
      </c>
    </row>
    <row r="257" spans="1:15" x14ac:dyDescent="0.25">
      <c r="A257" t="s">
        <v>11</v>
      </c>
      <c r="B257" t="s">
        <v>170</v>
      </c>
      <c r="C257" t="s">
        <v>25</v>
      </c>
      <c r="D257" t="s">
        <v>14</v>
      </c>
      <c r="E257" t="s">
        <v>15</v>
      </c>
      <c r="F257">
        <v>0</v>
      </c>
      <c r="G257" t="s">
        <v>19</v>
      </c>
      <c r="H257">
        <v>359.53</v>
      </c>
      <c r="J257">
        <v>450.43</v>
      </c>
      <c r="L257">
        <v>949.39</v>
      </c>
      <c r="N257">
        <v>384.89</v>
      </c>
    </row>
    <row r="258" spans="1:15" x14ac:dyDescent="0.25">
      <c r="A258" t="s">
        <v>11</v>
      </c>
      <c r="B258" t="s">
        <v>170</v>
      </c>
      <c r="C258" t="s">
        <v>28</v>
      </c>
      <c r="D258" t="s">
        <v>14</v>
      </c>
      <c r="E258" t="s">
        <v>15</v>
      </c>
      <c r="F258">
        <v>0</v>
      </c>
      <c r="G258" t="s">
        <v>19</v>
      </c>
      <c r="H258">
        <v>113.63</v>
      </c>
      <c r="J258">
        <v>352.86</v>
      </c>
      <c r="L258">
        <v>420.47</v>
      </c>
      <c r="N258">
        <v>759.24</v>
      </c>
    </row>
    <row r="259" spans="1:15" x14ac:dyDescent="0.25">
      <c r="A259" t="s">
        <v>11</v>
      </c>
      <c r="B259" t="s">
        <v>171</v>
      </c>
      <c r="C259" t="s">
        <v>13</v>
      </c>
      <c r="D259" t="s">
        <v>14</v>
      </c>
      <c r="E259" t="s">
        <v>15</v>
      </c>
      <c r="F259">
        <v>22312.22</v>
      </c>
      <c r="H259">
        <v>25148.47</v>
      </c>
      <c r="J259">
        <v>21797.84</v>
      </c>
      <c r="L259">
        <v>15989.15</v>
      </c>
      <c r="N259">
        <v>14943.2</v>
      </c>
    </row>
    <row r="260" spans="1:15" x14ac:dyDescent="0.25">
      <c r="A260" t="s">
        <v>11</v>
      </c>
      <c r="B260" t="s">
        <v>172</v>
      </c>
      <c r="C260" t="s">
        <v>13</v>
      </c>
      <c r="D260" t="s">
        <v>14</v>
      </c>
      <c r="E260" t="s">
        <v>15</v>
      </c>
      <c r="F260">
        <v>0</v>
      </c>
      <c r="G260" t="s">
        <v>19</v>
      </c>
      <c r="H260">
        <v>1534.56</v>
      </c>
      <c r="J260">
        <v>1157.54</v>
      </c>
      <c r="L260">
        <v>3787.99</v>
      </c>
      <c r="N260">
        <v>4481.76</v>
      </c>
    </row>
    <row r="261" spans="1:15" x14ac:dyDescent="0.25">
      <c r="A261" t="s">
        <v>11</v>
      </c>
      <c r="B261" t="s">
        <v>172</v>
      </c>
      <c r="C261" t="s">
        <v>25</v>
      </c>
      <c r="D261" t="s">
        <v>14</v>
      </c>
      <c r="E261" t="s">
        <v>15</v>
      </c>
      <c r="F261">
        <v>15240.04</v>
      </c>
      <c r="H261">
        <v>12158.46</v>
      </c>
      <c r="J261">
        <v>14531.79</v>
      </c>
      <c r="L261">
        <v>14906.14</v>
      </c>
      <c r="N261">
        <v>13777.86</v>
      </c>
    </row>
    <row r="262" spans="1:15" x14ac:dyDescent="0.25">
      <c r="A262" t="s">
        <v>11</v>
      </c>
      <c r="B262" t="s">
        <v>172</v>
      </c>
      <c r="C262" t="s">
        <v>28</v>
      </c>
      <c r="D262" t="s">
        <v>14</v>
      </c>
      <c r="E262" t="s">
        <v>15</v>
      </c>
      <c r="F262">
        <v>69797.600000000006</v>
      </c>
      <c r="H262">
        <v>81225.899999999994</v>
      </c>
      <c r="J262">
        <v>69678.289999999994</v>
      </c>
      <c r="L262">
        <v>64357.2</v>
      </c>
      <c r="N262">
        <v>69037.31</v>
      </c>
    </row>
    <row r="263" spans="1:15" x14ac:dyDescent="0.25">
      <c r="A263" t="s">
        <v>11</v>
      </c>
      <c r="B263" t="s">
        <v>173</v>
      </c>
      <c r="C263" t="s">
        <v>25</v>
      </c>
      <c r="D263" t="s">
        <v>14</v>
      </c>
      <c r="E263" t="s">
        <v>15</v>
      </c>
      <c r="F263">
        <v>33664.36</v>
      </c>
      <c r="H263">
        <v>40322.49</v>
      </c>
      <c r="J263">
        <v>57383.39</v>
      </c>
      <c r="L263">
        <v>45679.48</v>
      </c>
      <c r="N263">
        <v>52009.01</v>
      </c>
    </row>
    <row r="264" spans="1:15" x14ac:dyDescent="0.25">
      <c r="A264" t="s">
        <v>11</v>
      </c>
      <c r="B264" t="s">
        <v>173</v>
      </c>
      <c r="C264" t="s">
        <v>28</v>
      </c>
      <c r="D264" t="s">
        <v>14</v>
      </c>
      <c r="E264" t="s">
        <v>15</v>
      </c>
      <c r="F264">
        <v>117286.38</v>
      </c>
      <c r="H264">
        <v>131997.91</v>
      </c>
      <c r="J264">
        <v>133632.85</v>
      </c>
      <c r="L264">
        <v>147762.49</v>
      </c>
      <c r="N264">
        <v>196015.42</v>
      </c>
    </row>
    <row r="265" spans="1:15" x14ac:dyDescent="0.25">
      <c r="A265" t="s">
        <v>11</v>
      </c>
      <c r="B265" t="s">
        <v>174</v>
      </c>
      <c r="C265" t="s">
        <v>13</v>
      </c>
      <c r="D265" t="s">
        <v>14</v>
      </c>
      <c r="E265" t="s">
        <v>15</v>
      </c>
      <c r="F265">
        <v>0</v>
      </c>
      <c r="G265" t="s">
        <v>19</v>
      </c>
      <c r="H265">
        <v>3107.12</v>
      </c>
      <c r="J265">
        <v>3077.62</v>
      </c>
      <c r="L265">
        <v>1137.46</v>
      </c>
      <c r="N265">
        <v>1704.37</v>
      </c>
    </row>
    <row r="266" spans="1:15" x14ac:dyDescent="0.25">
      <c r="A266" t="s">
        <v>11</v>
      </c>
      <c r="B266" t="s">
        <v>174</v>
      </c>
      <c r="C266" t="s">
        <v>25</v>
      </c>
      <c r="D266" t="s">
        <v>14</v>
      </c>
      <c r="E266" t="s">
        <v>15</v>
      </c>
      <c r="F266">
        <v>0</v>
      </c>
      <c r="G266" t="s">
        <v>19</v>
      </c>
      <c r="H266">
        <v>0</v>
      </c>
      <c r="I266" t="s">
        <v>19</v>
      </c>
      <c r="J266">
        <v>0</v>
      </c>
      <c r="K266" t="s">
        <v>19</v>
      </c>
      <c r="L266">
        <v>0</v>
      </c>
      <c r="M266" t="s">
        <v>19</v>
      </c>
      <c r="N266">
        <v>0</v>
      </c>
      <c r="O266" t="s">
        <v>19</v>
      </c>
    </row>
    <row r="267" spans="1:15" x14ac:dyDescent="0.25">
      <c r="A267" t="s">
        <v>11</v>
      </c>
      <c r="B267" t="s">
        <v>174</v>
      </c>
      <c r="C267" t="s">
        <v>28</v>
      </c>
      <c r="D267" t="s">
        <v>14</v>
      </c>
      <c r="E267" t="s">
        <v>15</v>
      </c>
      <c r="F267">
        <v>0</v>
      </c>
      <c r="G267" t="s">
        <v>19</v>
      </c>
      <c r="H267">
        <v>0</v>
      </c>
      <c r="I267" t="s">
        <v>19</v>
      </c>
      <c r="J267">
        <v>0</v>
      </c>
      <c r="K267" t="s">
        <v>19</v>
      </c>
      <c r="L267">
        <v>0</v>
      </c>
      <c r="M267" t="s">
        <v>19</v>
      </c>
      <c r="N267">
        <v>0</v>
      </c>
      <c r="O267" t="s">
        <v>19</v>
      </c>
    </row>
    <row r="268" spans="1:15" x14ac:dyDescent="0.25">
      <c r="A268" t="s">
        <v>11</v>
      </c>
      <c r="B268" t="s">
        <v>175</v>
      </c>
      <c r="C268" t="s">
        <v>25</v>
      </c>
      <c r="D268" t="s">
        <v>14</v>
      </c>
      <c r="E268" t="s">
        <v>15</v>
      </c>
      <c r="F268">
        <v>3344.95</v>
      </c>
      <c r="H268">
        <v>2676.22</v>
      </c>
      <c r="J268">
        <v>3797.47</v>
      </c>
      <c r="L268">
        <v>20163.580000000002</v>
      </c>
      <c r="N268">
        <v>4951.0600000000004</v>
      </c>
    </row>
    <row r="269" spans="1:15" x14ac:dyDescent="0.25">
      <c r="A269" t="s">
        <v>11</v>
      </c>
      <c r="B269" t="s">
        <v>175</v>
      </c>
      <c r="C269" t="s">
        <v>28</v>
      </c>
      <c r="D269" t="s">
        <v>14</v>
      </c>
      <c r="E269" t="s">
        <v>15</v>
      </c>
      <c r="F269">
        <v>18416.63</v>
      </c>
      <c r="H269">
        <v>7119.37</v>
      </c>
      <c r="J269">
        <v>4308.37</v>
      </c>
      <c r="L269">
        <v>7111.53</v>
      </c>
      <c r="N269">
        <v>6709.02</v>
      </c>
    </row>
    <row r="270" spans="1:15" x14ac:dyDescent="0.25">
      <c r="A270" t="s">
        <v>11</v>
      </c>
      <c r="B270" t="s">
        <v>176</v>
      </c>
      <c r="C270" t="s">
        <v>25</v>
      </c>
      <c r="D270" t="s">
        <v>14</v>
      </c>
      <c r="E270" t="s">
        <v>15</v>
      </c>
      <c r="F270">
        <v>0</v>
      </c>
      <c r="G270" t="s">
        <v>19</v>
      </c>
      <c r="H270">
        <v>6521.04</v>
      </c>
      <c r="J270">
        <v>12166.23</v>
      </c>
      <c r="L270">
        <v>6580.33</v>
      </c>
      <c r="N270">
        <v>8710.93</v>
      </c>
    </row>
    <row r="271" spans="1:15" x14ac:dyDescent="0.25">
      <c r="A271" t="s">
        <v>11</v>
      </c>
      <c r="B271" t="s">
        <v>176</v>
      </c>
      <c r="C271" t="s">
        <v>28</v>
      </c>
      <c r="D271" t="s">
        <v>14</v>
      </c>
      <c r="E271" t="s">
        <v>15</v>
      </c>
      <c r="F271">
        <v>0</v>
      </c>
      <c r="G271" t="s">
        <v>19</v>
      </c>
      <c r="H271">
        <v>13477.7</v>
      </c>
      <c r="J271">
        <v>19625.98</v>
      </c>
      <c r="L271">
        <v>27461.35</v>
      </c>
      <c r="N271">
        <v>19842.599999999999</v>
      </c>
    </row>
    <row r="272" spans="1:15" x14ac:dyDescent="0.25">
      <c r="A272" t="s">
        <v>11</v>
      </c>
      <c r="B272" t="s">
        <v>177</v>
      </c>
      <c r="C272" t="s">
        <v>13</v>
      </c>
      <c r="D272" t="s">
        <v>90</v>
      </c>
      <c r="E272" t="s">
        <v>15</v>
      </c>
      <c r="F272">
        <v>905</v>
      </c>
      <c r="H272">
        <v>1164</v>
      </c>
      <c r="J272">
        <v>419</v>
      </c>
      <c r="L272">
        <v>160</v>
      </c>
      <c r="N272">
        <v>0</v>
      </c>
      <c r="O272" t="s">
        <v>19</v>
      </c>
    </row>
    <row r="273" spans="1:15" x14ac:dyDescent="0.25">
      <c r="A273" t="s">
        <v>11</v>
      </c>
      <c r="B273" t="s">
        <v>178</v>
      </c>
      <c r="C273" t="s">
        <v>13</v>
      </c>
      <c r="D273" t="s">
        <v>14</v>
      </c>
      <c r="E273" t="s">
        <v>15</v>
      </c>
      <c r="F273">
        <v>79920.639999999999</v>
      </c>
      <c r="H273">
        <v>116170.88</v>
      </c>
      <c r="J273">
        <v>57861.31</v>
      </c>
      <c r="L273">
        <v>48416.3</v>
      </c>
      <c r="N273">
        <v>49536.28</v>
      </c>
    </row>
    <row r="274" spans="1:15" x14ac:dyDescent="0.25">
      <c r="A274" t="s">
        <v>11</v>
      </c>
      <c r="B274" t="s">
        <v>179</v>
      </c>
      <c r="C274" t="s">
        <v>13</v>
      </c>
      <c r="D274" t="s">
        <v>14</v>
      </c>
      <c r="E274" t="s">
        <v>15</v>
      </c>
      <c r="F274">
        <v>8122.54</v>
      </c>
      <c r="H274">
        <v>12184.5</v>
      </c>
      <c r="J274">
        <v>13971.43</v>
      </c>
      <c r="L274">
        <v>11732.43</v>
      </c>
      <c r="N274">
        <v>11925.56</v>
      </c>
    </row>
    <row r="275" spans="1:15" x14ac:dyDescent="0.25">
      <c r="A275" t="s">
        <v>11</v>
      </c>
      <c r="B275" t="s">
        <v>180</v>
      </c>
      <c r="C275" t="s">
        <v>25</v>
      </c>
      <c r="D275" t="s">
        <v>14</v>
      </c>
      <c r="E275" t="s">
        <v>15</v>
      </c>
      <c r="F275">
        <v>4948.1899999999996</v>
      </c>
      <c r="H275">
        <v>4507.01</v>
      </c>
      <c r="J275">
        <v>10281.74</v>
      </c>
      <c r="L275">
        <v>8670.44</v>
      </c>
      <c r="N275">
        <v>6710.52</v>
      </c>
    </row>
    <row r="276" spans="1:15" x14ac:dyDescent="0.25">
      <c r="A276" t="s">
        <v>11</v>
      </c>
      <c r="B276" t="s">
        <v>180</v>
      </c>
      <c r="C276" t="s">
        <v>28</v>
      </c>
      <c r="D276" t="s">
        <v>14</v>
      </c>
      <c r="E276" t="s">
        <v>15</v>
      </c>
      <c r="F276">
        <v>6698.24</v>
      </c>
      <c r="H276">
        <v>6987.99</v>
      </c>
      <c r="J276">
        <v>8888.8799999999992</v>
      </c>
      <c r="L276">
        <v>10427.92</v>
      </c>
      <c r="N276">
        <v>10774.25</v>
      </c>
    </row>
    <row r="277" spans="1:15" x14ac:dyDescent="0.25">
      <c r="A277" t="s">
        <v>11</v>
      </c>
      <c r="B277" t="s">
        <v>181</v>
      </c>
      <c r="C277" t="s">
        <v>25</v>
      </c>
      <c r="D277" t="s">
        <v>14</v>
      </c>
      <c r="E277" t="s">
        <v>15</v>
      </c>
      <c r="F277">
        <v>0</v>
      </c>
      <c r="G277" t="s">
        <v>19</v>
      </c>
      <c r="H277">
        <v>83.28</v>
      </c>
      <c r="J277">
        <v>182.62</v>
      </c>
      <c r="L277">
        <v>70.48</v>
      </c>
      <c r="N277">
        <v>34.47</v>
      </c>
    </row>
    <row r="278" spans="1:15" x14ac:dyDescent="0.25">
      <c r="A278" t="s">
        <v>11</v>
      </c>
      <c r="B278" t="s">
        <v>181</v>
      </c>
      <c r="C278" t="s">
        <v>28</v>
      </c>
      <c r="D278" t="s">
        <v>14</v>
      </c>
      <c r="E278" t="s">
        <v>15</v>
      </c>
      <c r="F278">
        <v>0</v>
      </c>
      <c r="G278" t="s">
        <v>19</v>
      </c>
      <c r="H278">
        <v>7653.19</v>
      </c>
      <c r="J278">
        <v>12611.08</v>
      </c>
      <c r="L278">
        <v>19908.400000000001</v>
      </c>
      <c r="N278">
        <v>5756.07</v>
      </c>
    </row>
    <row r="279" spans="1:15" x14ac:dyDescent="0.25">
      <c r="A279" t="s">
        <v>11</v>
      </c>
      <c r="B279" t="s">
        <v>182</v>
      </c>
      <c r="C279" t="s">
        <v>13</v>
      </c>
      <c r="D279" t="s">
        <v>14</v>
      </c>
      <c r="E279" t="s">
        <v>15</v>
      </c>
      <c r="F279">
        <v>0</v>
      </c>
      <c r="G279" t="s">
        <v>19</v>
      </c>
      <c r="H279">
        <v>21683.01</v>
      </c>
      <c r="J279">
        <v>21099.08</v>
      </c>
      <c r="L279">
        <v>15261.14</v>
      </c>
      <c r="N279">
        <v>17298.28</v>
      </c>
    </row>
    <row r="280" spans="1:15" x14ac:dyDescent="0.25">
      <c r="A280" t="s">
        <v>11</v>
      </c>
      <c r="B280" t="s">
        <v>183</v>
      </c>
      <c r="C280" t="s">
        <v>25</v>
      </c>
      <c r="D280" t="s">
        <v>14</v>
      </c>
      <c r="E280" t="s">
        <v>15</v>
      </c>
      <c r="F280">
        <v>0</v>
      </c>
      <c r="G280" t="s">
        <v>19</v>
      </c>
      <c r="H280">
        <v>856.8</v>
      </c>
      <c r="J280">
        <v>479.35</v>
      </c>
      <c r="L280">
        <v>364.14</v>
      </c>
      <c r="N280">
        <v>539.34</v>
      </c>
    </row>
    <row r="281" spans="1:15" x14ac:dyDescent="0.25">
      <c r="A281" t="s">
        <v>11</v>
      </c>
      <c r="B281" t="s">
        <v>183</v>
      </c>
      <c r="C281" t="s">
        <v>28</v>
      </c>
      <c r="D281" t="s">
        <v>14</v>
      </c>
      <c r="E281" t="s">
        <v>15</v>
      </c>
      <c r="F281">
        <v>0</v>
      </c>
      <c r="G281" t="s">
        <v>19</v>
      </c>
      <c r="H281">
        <v>5399.48</v>
      </c>
      <c r="J281">
        <v>9408.98</v>
      </c>
      <c r="L281">
        <v>12462.54</v>
      </c>
      <c r="N281">
        <v>21760.81</v>
      </c>
    </row>
    <row r="282" spans="1:15" x14ac:dyDescent="0.25">
      <c r="A282" t="s">
        <v>11</v>
      </c>
      <c r="B282" t="s">
        <v>184</v>
      </c>
      <c r="C282" t="s">
        <v>25</v>
      </c>
      <c r="D282" t="s">
        <v>14</v>
      </c>
      <c r="E282" t="s">
        <v>15</v>
      </c>
      <c r="F282">
        <v>10</v>
      </c>
      <c r="G282" t="s">
        <v>33</v>
      </c>
      <c r="H282">
        <v>10</v>
      </c>
      <c r="I282" t="s">
        <v>33</v>
      </c>
      <c r="J282">
        <v>10</v>
      </c>
      <c r="K282" t="s">
        <v>33</v>
      </c>
      <c r="L282">
        <v>10</v>
      </c>
      <c r="M282" t="s">
        <v>33</v>
      </c>
      <c r="N282">
        <v>10</v>
      </c>
      <c r="O282" t="s">
        <v>33</v>
      </c>
    </row>
    <row r="283" spans="1:15" x14ac:dyDescent="0.25">
      <c r="A283" t="s">
        <v>11</v>
      </c>
      <c r="B283" t="s">
        <v>184</v>
      </c>
      <c r="C283" t="s">
        <v>28</v>
      </c>
      <c r="D283" t="s">
        <v>14</v>
      </c>
      <c r="E283" t="s">
        <v>15</v>
      </c>
      <c r="F283">
        <v>1000</v>
      </c>
      <c r="G283" t="s">
        <v>33</v>
      </c>
      <c r="H283">
        <v>1000</v>
      </c>
      <c r="I283" t="s">
        <v>33</v>
      </c>
      <c r="J283">
        <v>1000</v>
      </c>
      <c r="K283" t="s">
        <v>33</v>
      </c>
      <c r="L283">
        <v>1000</v>
      </c>
      <c r="M283" t="s">
        <v>33</v>
      </c>
      <c r="N283">
        <v>1000</v>
      </c>
      <c r="O283" t="s">
        <v>33</v>
      </c>
    </row>
    <row r="284" spans="1:15" x14ac:dyDescent="0.25">
      <c r="A284" t="s">
        <v>11</v>
      </c>
      <c r="B284" t="s">
        <v>185</v>
      </c>
      <c r="C284" t="s">
        <v>25</v>
      </c>
      <c r="D284" t="s">
        <v>14</v>
      </c>
      <c r="E284" t="s">
        <v>15</v>
      </c>
      <c r="F284">
        <v>0</v>
      </c>
      <c r="G284" t="s">
        <v>19</v>
      </c>
      <c r="H284">
        <v>12474.94</v>
      </c>
      <c r="J284">
        <v>14670</v>
      </c>
      <c r="L284">
        <v>15332.69</v>
      </c>
      <c r="N284">
        <v>12883.41</v>
      </c>
    </row>
    <row r="285" spans="1:15" x14ac:dyDescent="0.25">
      <c r="A285" t="s">
        <v>11</v>
      </c>
      <c r="B285" t="s">
        <v>185</v>
      </c>
      <c r="C285" t="s">
        <v>28</v>
      </c>
      <c r="D285" t="s">
        <v>14</v>
      </c>
      <c r="E285" t="s">
        <v>15</v>
      </c>
      <c r="F285">
        <v>0</v>
      </c>
      <c r="G285" t="s">
        <v>19</v>
      </c>
      <c r="H285">
        <v>37651.42</v>
      </c>
      <c r="J285">
        <v>37929.03</v>
      </c>
      <c r="L285">
        <v>46830.02</v>
      </c>
      <c r="N285">
        <v>42114.43</v>
      </c>
    </row>
    <row r="286" spans="1:15" x14ac:dyDescent="0.25">
      <c r="A286" t="s">
        <v>11</v>
      </c>
      <c r="B286" t="s">
        <v>186</v>
      </c>
      <c r="C286" t="s">
        <v>25</v>
      </c>
      <c r="D286" t="s">
        <v>14</v>
      </c>
      <c r="E286" t="s">
        <v>15</v>
      </c>
      <c r="F286">
        <v>143.97</v>
      </c>
      <c r="H286">
        <v>0</v>
      </c>
      <c r="I286" t="s">
        <v>19</v>
      </c>
      <c r="J286">
        <v>0</v>
      </c>
      <c r="K286" t="s">
        <v>19</v>
      </c>
      <c r="L286">
        <v>0</v>
      </c>
      <c r="M286" t="s">
        <v>19</v>
      </c>
      <c r="N286">
        <v>0</v>
      </c>
      <c r="O286" t="s">
        <v>19</v>
      </c>
    </row>
    <row r="287" spans="1:15" x14ac:dyDescent="0.25">
      <c r="A287" t="s">
        <v>11</v>
      </c>
      <c r="B287" t="s">
        <v>186</v>
      </c>
      <c r="C287" t="s">
        <v>28</v>
      </c>
      <c r="D287" t="s">
        <v>14</v>
      </c>
      <c r="E287" t="s">
        <v>15</v>
      </c>
      <c r="F287">
        <v>222.17</v>
      </c>
      <c r="H287">
        <v>0</v>
      </c>
      <c r="I287" t="s">
        <v>19</v>
      </c>
      <c r="J287">
        <v>0</v>
      </c>
      <c r="K287" t="s">
        <v>19</v>
      </c>
      <c r="L287">
        <v>0</v>
      </c>
      <c r="M287" t="s">
        <v>19</v>
      </c>
      <c r="N287">
        <v>0</v>
      </c>
      <c r="O287" t="s">
        <v>19</v>
      </c>
    </row>
    <row r="288" spans="1:15" x14ac:dyDescent="0.25">
      <c r="A288" t="s">
        <v>11</v>
      </c>
      <c r="B288" t="s">
        <v>187</v>
      </c>
      <c r="C288" t="s">
        <v>25</v>
      </c>
      <c r="D288" t="s">
        <v>14</v>
      </c>
      <c r="E288" t="s">
        <v>15</v>
      </c>
      <c r="F288">
        <v>0</v>
      </c>
      <c r="G288" t="s">
        <v>19</v>
      </c>
      <c r="H288">
        <v>39.51</v>
      </c>
      <c r="J288">
        <v>44.18</v>
      </c>
      <c r="L288">
        <v>35.32</v>
      </c>
      <c r="N288">
        <v>21.57</v>
      </c>
    </row>
    <row r="289" spans="1:15" x14ac:dyDescent="0.25">
      <c r="A289" t="s">
        <v>11</v>
      </c>
      <c r="B289" t="s">
        <v>187</v>
      </c>
      <c r="C289" t="s">
        <v>28</v>
      </c>
      <c r="D289" t="s">
        <v>14</v>
      </c>
      <c r="E289" t="s">
        <v>15</v>
      </c>
      <c r="F289">
        <v>0</v>
      </c>
      <c r="G289" t="s">
        <v>19</v>
      </c>
      <c r="H289">
        <v>8909</v>
      </c>
      <c r="J289">
        <v>10079.11</v>
      </c>
      <c r="L289">
        <v>6740.01</v>
      </c>
      <c r="N289">
        <v>750.71</v>
      </c>
    </row>
    <row r="290" spans="1:15" x14ac:dyDescent="0.25">
      <c r="A290" t="s">
        <v>11</v>
      </c>
      <c r="B290" t="s">
        <v>188</v>
      </c>
      <c r="C290" t="s">
        <v>25</v>
      </c>
      <c r="D290" t="s">
        <v>14</v>
      </c>
      <c r="E290" t="s">
        <v>15</v>
      </c>
      <c r="F290">
        <v>19257.3</v>
      </c>
      <c r="H290">
        <v>24472.52</v>
      </c>
      <c r="J290">
        <v>11917.47</v>
      </c>
      <c r="L290">
        <v>16766.689999999999</v>
      </c>
      <c r="N290">
        <v>17990.740000000002</v>
      </c>
    </row>
    <row r="291" spans="1:15" x14ac:dyDescent="0.25">
      <c r="A291" t="s">
        <v>11</v>
      </c>
      <c r="B291" t="s">
        <v>188</v>
      </c>
      <c r="C291" t="s">
        <v>28</v>
      </c>
      <c r="D291" t="s">
        <v>14</v>
      </c>
      <c r="E291" t="s">
        <v>15</v>
      </c>
      <c r="F291">
        <v>42076.02</v>
      </c>
      <c r="H291">
        <v>64653.46</v>
      </c>
      <c r="J291">
        <v>65949.87</v>
      </c>
      <c r="L291">
        <v>85699.85</v>
      </c>
      <c r="N291">
        <v>87275.26</v>
      </c>
    </row>
    <row r="292" spans="1:15" x14ac:dyDescent="0.25">
      <c r="A292" t="s">
        <v>11</v>
      </c>
      <c r="B292" t="s">
        <v>189</v>
      </c>
      <c r="C292" t="s">
        <v>25</v>
      </c>
      <c r="D292" t="s">
        <v>14</v>
      </c>
      <c r="E292" t="s">
        <v>15</v>
      </c>
      <c r="F292">
        <v>0</v>
      </c>
      <c r="G292" t="s">
        <v>19</v>
      </c>
      <c r="H292">
        <v>9146.91</v>
      </c>
      <c r="J292">
        <v>8865.5400000000009</v>
      </c>
      <c r="L292">
        <v>7989.85</v>
      </c>
      <c r="N292">
        <v>8617.7900000000009</v>
      </c>
    </row>
    <row r="293" spans="1:15" x14ac:dyDescent="0.25">
      <c r="A293" t="s">
        <v>11</v>
      </c>
      <c r="B293" t="s">
        <v>189</v>
      </c>
      <c r="C293" t="s">
        <v>28</v>
      </c>
      <c r="D293" t="s">
        <v>14</v>
      </c>
      <c r="E293" t="s">
        <v>15</v>
      </c>
      <c r="F293">
        <v>0</v>
      </c>
      <c r="G293" t="s">
        <v>19</v>
      </c>
      <c r="H293">
        <v>11979.33</v>
      </c>
      <c r="J293">
        <v>10452.58</v>
      </c>
      <c r="L293">
        <v>16344.95</v>
      </c>
      <c r="N293">
        <v>14049.34</v>
      </c>
    </row>
    <row r="294" spans="1:15" x14ac:dyDescent="0.25">
      <c r="A294" t="s">
        <v>11</v>
      </c>
      <c r="B294" t="s">
        <v>190</v>
      </c>
      <c r="C294" t="s">
        <v>25</v>
      </c>
      <c r="D294" t="s">
        <v>14</v>
      </c>
      <c r="E294" t="s">
        <v>15</v>
      </c>
      <c r="F294">
        <v>7120.6</v>
      </c>
      <c r="H294">
        <v>6731.27</v>
      </c>
      <c r="J294">
        <v>6455.25</v>
      </c>
      <c r="L294">
        <v>5863.22</v>
      </c>
      <c r="N294">
        <v>6250.37</v>
      </c>
    </row>
    <row r="295" spans="1:15" x14ac:dyDescent="0.25">
      <c r="A295" t="s">
        <v>11</v>
      </c>
      <c r="B295" t="s">
        <v>190</v>
      </c>
      <c r="C295" t="s">
        <v>28</v>
      </c>
      <c r="D295" t="s">
        <v>14</v>
      </c>
      <c r="E295" t="s">
        <v>15</v>
      </c>
      <c r="F295">
        <v>18481.580000000002</v>
      </c>
      <c r="H295">
        <v>17620.16</v>
      </c>
      <c r="J295">
        <v>20597.53</v>
      </c>
      <c r="L295">
        <v>26299.58</v>
      </c>
      <c r="N295">
        <v>18365.09</v>
      </c>
    </row>
    <row r="296" spans="1:15" x14ac:dyDescent="0.25">
      <c r="A296" t="s">
        <v>11</v>
      </c>
      <c r="B296" t="s">
        <v>191</v>
      </c>
      <c r="C296" t="s">
        <v>25</v>
      </c>
      <c r="D296" t="s">
        <v>14</v>
      </c>
      <c r="E296" t="s">
        <v>15</v>
      </c>
      <c r="F296">
        <v>2009.53</v>
      </c>
      <c r="H296">
        <v>4563.13</v>
      </c>
      <c r="J296">
        <v>2216.0700000000002</v>
      </c>
      <c r="L296">
        <v>2053.7199999999998</v>
      </c>
      <c r="N296">
        <v>3826.59</v>
      </c>
    </row>
    <row r="297" spans="1:15" x14ac:dyDescent="0.25">
      <c r="A297" t="s">
        <v>11</v>
      </c>
      <c r="B297" t="s">
        <v>191</v>
      </c>
      <c r="C297" t="s">
        <v>28</v>
      </c>
      <c r="D297" t="s">
        <v>14</v>
      </c>
      <c r="E297" t="s">
        <v>15</v>
      </c>
      <c r="F297">
        <v>5493.64</v>
      </c>
      <c r="H297">
        <v>11942.8</v>
      </c>
      <c r="J297">
        <v>8116.78</v>
      </c>
      <c r="L297">
        <v>8439.11</v>
      </c>
      <c r="N297">
        <v>16448.419999999998</v>
      </c>
    </row>
    <row r="298" spans="1:15" x14ac:dyDescent="0.25">
      <c r="A298" t="s">
        <v>11</v>
      </c>
      <c r="B298" t="s">
        <v>192</v>
      </c>
      <c r="C298" t="s">
        <v>25</v>
      </c>
      <c r="D298" t="s">
        <v>14</v>
      </c>
      <c r="E298" t="s">
        <v>15</v>
      </c>
      <c r="F298">
        <v>4244.8500000000004</v>
      </c>
      <c r="H298">
        <v>8192.0300000000007</v>
      </c>
      <c r="J298">
        <v>7424.68</v>
      </c>
      <c r="L298">
        <v>4912.82</v>
      </c>
      <c r="N298">
        <v>4088.4</v>
      </c>
    </row>
    <row r="299" spans="1:15" x14ac:dyDescent="0.25">
      <c r="A299" t="s">
        <v>11</v>
      </c>
      <c r="B299" t="s">
        <v>192</v>
      </c>
      <c r="C299" t="s">
        <v>28</v>
      </c>
      <c r="D299" t="s">
        <v>14</v>
      </c>
      <c r="E299" t="s">
        <v>15</v>
      </c>
      <c r="F299">
        <v>9830.42</v>
      </c>
      <c r="H299">
        <v>10450.02</v>
      </c>
      <c r="J299">
        <v>15702.01</v>
      </c>
      <c r="L299">
        <v>11470.48</v>
      </c>
      <c r="N299">
        <v>8518.57</v>
      </c>
    </row>
    <row r="300" spans="1:15" x14ac:dyDescent="0.25">
      <c r="A300" t="s">
        <v>11</v>
      </c>
      <c r="B300" t="s">
        <v>193</v>
      </c>
      <c r="C300" t="s">
        <v>25</v>
      </c>
      <c r="D300" t="s">
        <v>14</v>
      </c>
      <c r="E300" t="s">
        <v>15</v>
      </c>
      <c r="F300">
        <v>29080.01</v>
      </c>
      <c r="H300">
        <v>0</v>
      </c>
      <c r="I300" t="s">
        <v>19</v>
      </c>
      <c r="J300">
        <v>0</v>
      </c>
      <c r="K300" t="s">
        <v>19</v>
      </c>
      <c r="L300">
        <v>0</v>
      </c>
      <c r="M300" t="s">
        <v>19</v>
      </c>
      <c r="N300">
        <v>0</v>
      </c>
      <c r="O300" t="s">
        <v>19</v>
      </c>
    </row>
    <row r="301" spans="1:15" x14ac:dyDescent="0.25">
      <c r="A301" t="s">
        <v>11</v>
      </c>
      <c r="B301" t="s">
        <v>193</v>
      </c>
      <c r="C301" t="s">
        <v>28</v>
      </c>
      <c r="D301" t="s">
        <v>14</v>
      </c>
      <c r="E301" t="s">
        <v>15</v>
      </c>
      <c r="F301">
        <v>28017.5</v>
      </c>
      <c r="H301">
        <v>7025.17</v>
      </c>
      <c r="J301">
        <v>11590.68</v>
      </c>
      <c r="L301">
        <v>9533.34</v>
      </c>
      <c r="N301">
        <v>10393.85</v>
      </c>
    </row>
    <row r="302" spans="1:15" x14ac:dyDescent="0.25">
      <c r="A302" t="s">
        <v>11</v>
      </c>
      <c r="B302" t="s">
        <v>194</v>
      </c>
      <c r="C302" t="s">
        <v>25</v>
      </c>
      <c r="D302" t="s">
        <v>14</v>
      </c>
      <c r="E302" t="s">
        <v>15</v>
      </c>
      <c r="F302">
        <v>0</v>
      </c>
      <c r="G302" t="s">
        <v>19</v>
      </c>
      <c r="H302">
        <v>0.95</v>
      </c>
      <c r="J302">
        <v>4.45</v>
      </c>
      <c r="L302">
        <v>50.46</v>
      </c>
      <c r="N302">
        <v>33.630000000000003</v>
      </c>
    </row>
    <row r="303" spans="1:15" x14ac:dyDescent="0.25">
      <c r="A303" t="s">
        <v>11</v>
      </c>
      <c r="B303" t="s">
        <v>194</v>
      </c>
      <c r="C303" t="s">
        <v>28</v>
      </c>
      <c r="D303" t="s">
        <v>14</v>
      </c>
      <c r="E303" t="s">
        <v>15</v>
      </c>
      <c r="F303">
        <v>0</v>
      </c>
      <c r="G303" t="s">
        <v>19</v>
      </c>
      <c r="H303">
        <v>124.49</v>
      </c>
      <c r="J303">
        <v>1089.23</v>
      </c>
      <c r="L303">
        <v>658.78</v>
      </c>
      <c r="N303">
        <v>672.02</v>
      </c>
    </row>
    <row r="304" spans="1:15" x14ac:dyDescent="0.25">
      <c r="A304" t="s">
        <v>11</v>
      </c>
      <c r="B304" t="s">
        <v>195</v>
      </c>
      <c r="C304" t="s">
        <v>13</v>
      </c>
      <c r="D304" t="s">
        <v>14</v>
      </c>
      <c r="E304" t="s">
        <v>15</v>
      </c>
      <c r="F304">
        <v>0</v>
      </c>
      <c r="G304" t="s">
        <v>19</v>
      </c>
      <c r="H304">
        <v>961.65</v>
      </c>
      <c r="J304">
        <v>433.65</v>
      </c>
      <c r="L304">
        <v>657.62</v>
      </c>
      <c r="N304">
        <v>690.55</v>
      </c>
    </row>
    <row r="305" spans="1:15" x14ac:dyDescent="0.25">
      <c r="A305" t="s">
        <v>11</v>
      </c>
      <c r="B305" t="s">
        <v>196</v>
      </c>
      <c r="C305" t="s">
        <v>25</v>
      </c>
      <c r="D305" t="s">
        <v>14</v>
      </c>
      <c r="E305" t="s">
        <v>15</v>
      </c>
      <c r="F305">
        <v>22000</v>
      </c>
      <c r="G305" t="s">
        <v>33</v>
      </c>
      <c r="H305">
        <v>22000</v>
      </c>
      <c r="I305" t="s">
        <v>33</v>
      </c>
      <c r="J305">
        <v>22000</v>
      </c>
      <c r="K305" t="s">
        <v>33</v>
      </c>
      <c r="L305">
        <v>15000</v>
      </c>
      <c r="M305" t="s">
        <v>33</v>
      </c>
      <c r="N305">
        <v>22000</v>
      </c>
      <c r="O305" t="s">
        <v>33</v>
      </c>
    </row>
    <row r="306" spans="1:15" x14ac:dyDescent="0.25">
      <c r="A306" t="s">
        <v>11</v>
      </c>
      <c r="B306" t="s">
        <v>196</v>
      </c>
      <c r="C306" t="s">
        <v>28</v>
      </c>
      <c r="D306" t="s">
        <v>14</v>
      </c>
      <c r="E306" t="s">
        <v>15</v>
      </c>
      <c r="F306">
        <v>20000</v>
      </c>
      <c r="G306" t="s">
        <v>33</v>
      </c>
      <c r="H306">
        <v>20000</v>
      </c>
      <c r="I306" t="s">
        <v>33</v>
      </c>
      <c r="J306">
        <v>20000</v>
      </c>
      <c r="K306" t="s">
        <v>33</v>
      </c>
      <c r="L306">
        <v>18000</v>
      </c>
      <c r="M306" t="s">
        <v>33</v>
      </c>
      <c r="N306">
        <v>20000</v>
      </c>
      <c r="O306" t="s">
        <v>33</v>
      </c>
    </row>
    <row r="307" spans="1:15" x14ac:dyDescent="0.25">
      <c r="A307" t="s">
        <v>11</v>
      </c>
      <c r="B307" t="s">
        <v>197</v>
      </c>
      <c r="C307" t="s">
        <v>25</v>
      </c>
      <c r="D307" t="s">
        <v>14</v>
      </c>
      <c r="E307" t="s">
        <v>15</v>
      </c>
      <c r="F307">
        <v>0</v>
      </c>
      <c r="H307">
        <v>0</v>
      </c>
      <c r="J307">
        <v>0</v>
      </c>
      <c r="L307">
        <v>0</v>
      </c>
      <c r="N307">
        <v>0</v>
      </c>
    </row>
    <row r="308" spans="1:15" x14ac:dyDescent="0.25">
      <c r="A308" t="s">
        <v>11</v>
      </c>
      <c r="B308" t="s">
        <v>197</v>
      </c>
      <c r="C308" t="s">
        <v>28</v>
      </c>
      <c r="D308" t="s">
        <v>14</v>
      </c>
      <c r="E308" t="s">
        <v>15</v>
      </c>
      <c r="F308">
        <v>4486.6000000000004</v>
      </c>
      <c r="H308">
        <v>12186.23</v>
      </c>
      <c r="J308">
        <v>18088.88</v>
      </c>
      <c r="L308">
        <v>16751.21</v>
      </c>
      <c r="N308">
        <v>10495.42</v>
      </c>
    </row>
    <row r="309" spans="1:15" x14ac:dyDescent="0.25">
      <c r="A309" t="s">
        <v>11</v>
      </c>
      <c r="B309" t="s">
        <v>198</v>
      </c>
      <c r="C309" t="s">
        <v>25</v>
      </c>
      <c r="D309" t="s">
        <v>14</v>
      </c>
      <c r="E309" t="s">
        <v>15</v>
      </c>
      <c r="F309">
        <v>0</v>
      </c>
      <c r="G309" t="s">
        <v>19</v>
      </c>
      <c r="H309">
        <v>77.8</v>
      </c>
      <c r="J309">
        <v>162.65</v>
      </c>
      <c r="L309">
        <v>36.450000000000003</v>
      </c>
      <c r="N309">
        <v>27.43</v>
      </c>
    </row>
    <row r="310" spans="1:15" x14ac:dyDescent="0.25">
      <c r="A310" t="s">
        <v>11</v>
      </c>
      <c r="B310" t="s">
        <v>198</v>
      </c>
      <c r="C310" t="s">
        <v>28</v>
      </c>
      <c r="D310" t="s">
        <v>14</v>
      </c>
      <c r="E310" t="s">
        <v>15</v>
      </c>
      <c r="F310">
        <v>0</v>
      </c>
      <c r="G310" t="s">
        <v>19</v>
      </c>
      <c r="H310">
        <v>1361.75</v>
      </c>
      <c r="J310">
        <v>1564.58</v>
      </c>
      <c r="L310">
        <v>632.98</v>
      </c>
      <c r="N310">
        <v>155.63</v>
      </c>
    </row>
    <row r="311" spans="1:15" x14ac:dyDescent="0.25">
      <c r="A311" t="s">
        <v>11</v>
      </c>
      <c r="B311" t="s">
        <v>199</v>
      </c>
      <c r="C311" t="s">
        <v>13</v>
      </c>
      <c r="D311" t="s">
        <v>14</v>
      </c>
      <c r="E311" t="s">
        <v>15</v>
      </c>
      <c r="F311">
        <v>60</v>
      </c>
      <c r="G311" t="s">
        <v>33</v>
      </c>
      <c r="H311">
        <v>0</v>
      </c>
      <c r="I311" t="s">
        <v>19</v>
      </c>
      <c r="J311">
        <v>0</v>
      </c>
      <c r="K311" t="s">
        <v>19</v>
      </c>
      <c r="L311">
        <v>0</v>
      </c>
      <c r="M311" t="s">
        <v>19</v>
      </c>
      <c r="N311">
        <v>0</v>
      </c>
      <c r="O311" t="s">
        <v>19</v>
      </c>
    </row>
    <row r="312" spans="1:15" x14ac:dyDescent="0.25">
      <c r="A312" t="s">
        <v>11</v>
      </c>
      <c r="B312" t="s">
        <v>200</v>
      </c>
      <c r="C312" t="s">
        <v>13</v>
      </c>
      <c r="D312" t="s">
        <v>14</v>
      </c>
      <c r="E312" t="s">
        <v>15</v>
      </c>
      <c r="F312">
        <v>4940.25</v>
      </c>
      <c r="H312">
        <v>3122.71</v>
      </c>
      <c r="J312">
        <v>3541.56</v>
      </c>
      <c r="L312">
        <v>3403.06</v>
      </c>
      <c r="N312">
        <v>780.37</v>
      </c>
    </row>
    <row r="313" spans="1:15" x14ac:dyDescent="0.25">
      <c r="A313" t="s">
        <v>11</v>
      </c>
      <c r="B313" t="s">
        <v>201</v>
      </c>
      <c r="C313" t="s">
        <v>13</v>
      </c>
      <c r="D313" t="s">
        <v>14</v>
      </c>
      <c r="E313" t="s">
        <v>15</v>
      </c>
      <c r="F313">
        <v>0</v>
      </c>
      <c r="G313" t="s">
        <v>19</v>
      </c>
      <c r="H313">
        <v>212.29</v>
      </c>
      <c r="J313">
        <v>823.07</v>
      </c>
      <c r="L313">
        <v>284.10000000000002</v>
      </c>
      <c r="N313">
        <v>350.92</v>
      </c>
    </row>
    <row r="314" spans="1:15" x14ac:dyDescent="0.25">
      <c r="A314" t="s">
        <v>11</v>
      </c>
      <c r="B314" t="s">
        <v>202</v>
      </c>
      <c r="C314" t="s">
        <v>25</v>
      </c>
      <c r="D314" t="s">
        <v>14</v>
      </c>
      <c r="E314" t="s">
        <v>15</v>
      </c>
      <c r="F314">
        <v>0</v>
      </c>
      <c r="G314" t="s">
        <v>19</v>
      </c>
      <c r="H314">
        <v>664.1</v>
      </c>
      <c r="J314">
        <v>766.49</v>
      </c>
      <c r="L314">
        <v>508.07</v>
      </c>
      <c r="N314">
        <v>631.66</v>
      </c>
    </row>
    <row r="315" spans="1:15" x14ac:dyDescent="0.25">
      <c r="A315" t="s">
        <v>11</v>
      </c>
      <c r="B315" t="s">
        <v>202</v>
      </c>
      <c r="C315" t="s">
        <v>28</v>
      </c>
      <c r="D315" t="s">
        <v>14</v>
      </c>
      <c r="E315" t="s">
        <v>15</v>
      </c>
      <c r="F315">
        <v>0</v>
      </c>
      <c r="G315" t="s">
        <v>19</v>
      </c>
      <c r="H315">
        <v>972.41</v>
      </c>
      <c r="J315">
        <v>690.59</v>
      </c>
      <c r="L315">
        <v>422.52</v>
      </c>
      <c r="N315">
        <v>126.62</v>
      </c>
    </row>
    <row r="316" spans="1:15" x14ac:dyDescent="0.25">
      <c r="A316" t="s">
        <v>11</v>
      </c>
      <c r="B316" t="s">
        <v>203</v>
      </c>
      <c r="C316" t="s">
        <v>25</v>
      </c>
      <c r="D316" t="s">
        <v>14</v>
      </c>
      <c r="E316" t="s">
        <v>15</v>
      </c>
      <c r="F316">
        <v>0</v>
      </c>
      <c r="G316" t="s">
        <v>19</v>
      </c>
      <c r="H316">
        <v>519.99</v>
      </c>
      <c r="J316">
        <v>361.93</v>
      </c>
      <c r="L316">
        <v>599.19000000000005</v>
      </c>
      <c r="N316">
        <v>496.05</v>
      </c>
    </row>
    <row r="317" spans="1:15" x14ac:dyDescent="0.25">
      <c r="A317" t="s">
        <v>11</v>
      </c>
      <c r="B317" t="s">
        <v>204</v>
      </c>
      <c r="C317" t="s">
        <v>25</v>
      </c>
      <c r="D317" t="s">
        <v>14</v>
      </c>
      <c r="E317" t="s">
        <v>15</v>
      </c>
      <c r="F317">
        <v>0</v>
      </c>
      <c r="G317" t="s">
        <v>19</v>
      </c>
      <c r="H317">
        <v>6271.88</v>
      </c>
      <c r="J317">
        <v>13117.13</v>
      </c>
      <c r="L317">
        <v>9033.35</v>
      </c>
      <c r="N317">
        <v>10456.44</v>
      </c>
    </row>
    <row r="318" spans="1:15" x14ac:dyDescent="0.25">
      <c r="A318" t="s">
        <v>11</v>
      </c>
      <c r="B318" t="s">
        <v>204</v>
      </c>
      <c r="C318" t="s">
        <v>28</v>
      </c>
      <c r="D318" t="s">
        <v>14</v>
      </c>
      <c r="E318" t="s">
        <v>15</v>
      </c>
      <c r="F318">
        <v>0</v>
      </c>
      <c r="G318" t="s">
        <v>19</v>
      </c>
      <c r="H318">
        <v>5959.11</v>
      </c>
      <c r="J318">
        <v>14573.37</v>
      </c>
      <c r="L318">
        <v>16704.71</v>
      </c>
      <c r="N318">
        <v>12275.49</v>
      </c>
    </row>
    <row r="319" spans="1:15" x14ac:dyDescent="0.25">
      <c r="A319" t="s">
        <v>11</v>
      </c>
      <c r="B319" t="s">
        <v>205</v>
      </c>
      <c r="C319" t="s">
        <v>25</v>
      </c>
      <c r="D319" t="s">
        <v>14</v>
      </c>
      <c r="E319" t="s">
        <v>15</v>
      </c>
      <c r="F319">
        <v>215.58</v>
      </c>
      <c r="H319">
        <v>325.33</v>
      </c>
      <c r="J319">
        <v>1834.05</v>
      </c>
      <c r="L319">
        <v>44.23</v>
      </c>
      <c r="N319">
        <v>75.34</v>
      </c>
    </row>
    <row r="320" spans="1:15" x14ac:dyDescent="0.25">
      <c r="A320" t="s">
        <v>11</v>
      </c>
      <c r="B320" t="s">
        <v>205</v>
      </c>
      <c r="C320" t="s">
        <v>28</v>
      </c>
      <c r="D320" t="s">
        <v>14</v>
      </c>
      <c r="E320" t="s">
        <v>15</v>
      </c>
      <c r="F320">
        <v>1062.96</v>
      </c>
      <c r="H320">
        <v>612.12</v>
      </c>
      <c r="J320">
        <v>1001.94</v>
      </c>
      <c r="L320">
        <v>618.03</v>
      </c>
      <c r="N320">
        <v>1005.72</v>
      </c>
    </row>
    <row r="321" spans="1:15" x14ac:dyDescent="0.25">
      <c r="A321" t="s">
        <v>11</v>
      </c>
      <c r="B321" t="s">
        <v>206</v>
      </c>
      <c r="C321" t="s">
        <v>25</v>
      </c>
      <c r="D321" t="s">
        <v>14</v>
      </c>
      <c r="E321" t="s">
        <v>15</v>
      </c>
      <c r="F321">
        <v>157288.25</v>
      </c>
      <c r="H321">
        <v>153568.79</v>
      </c>
      <c r="J321">
        <v>100076.12</v>
      </c>
      <c r="L321">
        <v>90357.72</v>
      </c>
      <c r="N321">
        <v>107882.1</v>
      </c>
    </row>
    <row r="322" spans="1:15" x14ac:dyDescent="0.25">
      <c r="A322" t="s">
        <v>11</v>
      </c>
      <c r="B322" t="s">
        <v>206</v>
      </c>
      <c r="C322" t="s">
        <v>28</v>
      </c>
      <c r="D322" t="s">
        <v>14</v>
      </c>
      <c r="E322" t="s">
        <v>15</v>
      </c>
      <c r="F322">
        <v>352446.48</v>
      </c>
      <c r="H322">
        <v>364947.35</v>
      </c>
      <c r="J322">
        <v>448583.79</v>
      </c>
      <c r="L322">
        <v>436815.44</v>
      </c>
      <c r="N322">
        <v>384514.52</v>
      </c>
    </row>
    <row r="323" spans="1:15" x14ac:dyDescent="0.25">
      <c r="A323" t="s">
        <v>11</v>
      </c>
      <c r="B323" t="s">
        <v>207</v>
      </c>
      <c r="C323" t="s">
        <v>25</v>
      </c>
      <c r="D323" t="s">
        <v>14</v>
      </c>
      <c r="E323" t="s">
        <v>15</v>
      </c>
      <c r="F323">
        <v>9.1300000000000008</v>
      </c>
      <c r="H323">
        <v>93.47</v>
      </c>
      <c r="J323">
        <v>0.65</v>
      </c>
      <c r="L323">
        <v>0.59</v>
      </c>
      <c r="N323">
        <v>0</v>
      </c>
      <c r="O323" t="s">
        <v>19</v>
      </c>
    </row>
    <row r="324" spans="1:15" x14ac:dyDescent="0.25">
      <c r="A324" t="s">
        <v>11</v>
      </c>
      <c r="B324" t="s">
        <v>207</v>
      </c>
      <c r="C324" t="s">
        <v>28</v>
      </c>
      <c r="D324" t="s">
        <v>14</v>
      </c>
      <c r="E324" t="s">
        <v>15</v>
      </c>
      <c r="F324">
        <v>11.37</v>
      </c>
      <c r="H324">
        <v>358.47</v>
      </c>
      <c r="J324">
        <v>1006.89</v>
      </c>
      <c r="L324">
        <v>1192.4000000000001</v>
      </c>
      <c r="N324">
        <v>659.92</v>
      </c>
    </row>
    <row r="325" spans="1:15" x14ac:dyDescent="0.25">
      <c r="A325" t="s">
        <v>11</v>
      </c>
      <c r="B325" t="s">
        <v>208</v>
      </c>
      <c r="C325" t="s">
        <v>13</v>
      </c>
      <c r="D325" t="s">
        <v>14</v>
      </c>
      <c r="E325" t="s">
        <v>15</v>
      </c>
      <c r="F325">
        <v>0</v>
      </c>
      <c r="G325" t="s">
        <v>19</v>
      </c>
      <c r="H325">
        <v>812.26</v>
      </c>
      <c r="J325">
        <v>837.03</v>
      </c>
      <c r="L325">
        <v>775.26</v>
      </c>
      <c r="N325">
        <v>688.38</v>
      </c>
    </row>
    <row r="326" spans="1:15" x14ac:dyDescent="0.25">
      <c r="A326" t="s">
        <v>11</v>
      </c>
      <c r="B326" t="s">
        <v>208</v>
      </c>
      <c r="C326" t="s">
        <v>25</v>
      </c>
      <c r="D326" t="s">
        <v>14</v>
      </c>
      <c r="E326" t="s">
        <v>15</v>
      </c>
      <c r="F326">
        <v>21458.05</v>
      </c>
      <c r="H326">
        <v>16171.47</v>
      </c>
      <c r="J326">
        <v>11781.62</v>
      </c>
      <c r="L326">
        <v>13732.61</v>
      </c>
      <c r="N326">
        <v>14245.64</v>
      </c>
    </row>
    <row r="327" spans="1:15" x14ac:dyDescent="0.25">
      <c r="A327" t="s">
        <v>11</v>
      </c>
      <c r="B327" t="s">
        <v>208</v>
      </c>
      <c r="C327" t="s">
        <v>28</v>
      </c>
      <c r="D327" t="s">
        <v>14</v>
      </c>
      <c r="E327" t="s">
        <v>15</v>
      </c>
      <c r="F327">
        <v>93318.81</v>
      </c>
      <c r="H327">
        <v>83233.89</v>
      </c>
      <c r="J327">
        <v>77851.5</v>
      </c>
      <c r="L327">
        <v>85374.96</v>
      </c>
      <c r="N327">
        <v>95733.8</v>
      </c>
    </row>
    <row r="328" spans="1:15" x14ac:dyDescent="0.25">
      <c r="A328" t="s">
        <v>11</v>
      </c>
      <c r="B328" t="s">
        <v>209</v>
      </c>
      <c r="C328" t="s">
        <v>25</v>
      </c>
      <c r="D328" t="s">
        <v>14</v>
      </c>
      <c r="E328" t="s">
        <v>15</v>
      </c>
      <c r="F328">
        <v>1012.88</v>
      </c>
      <c r="H328">
        <v>380.09</v>
      </c>
      <c r="J328">
        <v>260.01</v>
      </c>
      <c r="L328">
        <v>237.9</v>
      </c>
      <c r="N328">
        <v>474.75</v>
      </c>
    </row>
    <row r="329" spans="1:15" x14ac:dyDescent="0.25">
      <c r="A329" t="s">
        <v>11</v>
      </c>
      <c r="B329" t="s">
        <v>209</v>
      </c>
      <c r="C329" t="s">
        <v>28</v>
      </c>
      <c r="D329" t="s">
        <v>14</v>
      </c>
      <c r="E329" t="s">
        <v>15</v>
      </c>
      <c r="F329">
        <v>8279.16</v>
      </c>
      <c r="H329">
        <v>4153.96</v>
      </c>
      <c r="J329">
        <v>3789.94</v>
      </c>
      <c r="L329">
        <v>3599.58</v>
      </c>
      <c r="N329">
        <v>2399.46</v>
      </c>
    </row>
    <row r="330" spans="1:15" x14ac:dyDescent="0.25">
      <c r="A330" t="s">
        <v>11</v>
      </c>
      <c r="B330" t="s">
        <v>210</v>
      </c>
      <c r="C330" t="s">
        <v>13</v>
      </c>
      <c r="D330" t="s">
        <v>14</v>
      </c>
      <c r="E330" t="s">
        <v>15</v>
      </c>
      <c r="F330">
        <v>884.68</v>
      </c>
      <c r="H330">
        <v>1018.76</v>
      </c>
      <c r="J330">
        <v>903.9</v>
      </c>
      <c r="L330">
        <v>1141.08</v>
      </c>
      <c r="N330">
        <v>1863.33</v>
      </c>
    </row>
    <row r="331" spans="1:15" x14ac:dyDescent="0.25">
      <c r="A331" t="s">
        <v>11</v>
      </c>
      <c r="B331" t="s">
        <v>211</v>
      </c>
      <c r="C331" t="s">
        <v>25</v>
      </c>
      <c r="D331" t="s">
        <v>14</v>
      </c>
      <c r="E331" t="s">
        <v>15</v>
      </c>
      <c r="F331">
        <v>0</v>
      </c>
      <c r="G331" t="s">
        <v>19</v>
      </c>
      <c r="H331">
        <v>5482.9</v>
      </c>
      <c r="J331">
        <v>5588.25</v>
      </c>
      <c r="L331">
        <v>10026.01</v>
      </c>
      <c r="N331">
        <v>14182.42</v>
      </c>
    </row>
    <row r="332" spans="1:15" x14ac:dyDescent="0.25">
      <c r="A332" t="s">
        <v>11</v>
      </c>
      <c r="B332" t="s">
        <v>211</v>
      </c>
      <c r="C332" t="s">
        <v>28</v>
      </c>
      <c r="D332" t="s">
        <v>14</v>
      </c>
      <c r="E332" t="s">
        <v>15</v>
      </c>
      <c r="F332">
        <v>0</v>
      </c>
      <c r="G332" t="s">
        <v>19</v>
      </c>
      <c r="H332">
        <v>15042.72</v>
      </c>
      <c r="J332">
        <v>17256.080000000002</v>
      </c>
      <c r="L332">
        <v>26958.2</v>
      </c>
      <c r="N332">
        <v>25888.06</v>
      </c>
    </row>
    <row r="333" spans="1:15" x14ac:dyDescent="0.25">
      <c r="A333" t="s">
        <v>11</v>
      </c>
      <c r="B333" t="s">
        <v>212</v>
      </c>
      <c r="C333" t="s">
        <v>25</v>
      </c>
      <c r="D333" t="s">
        <v>14</v>
      </c>
      <c r="E333" t="s">
        <v>15</v>
      </c>
      <c r="F333">
        <v>0</v>
      </c>
      <c r="H333">
        <v>0</v>
      </c>
      <c r="J333">
        <v>0</v>
      </c>
      <c r="L333">
        <v>0</v>
      </c>
      <c r="N333">
        <v>0</v>
      </c>
    </row>
    <row r="334" spans="1:15" x14ac:dyDescent="0.25">
      <c r="A334" t="s">
        <v>11</v>
      </c>
      <c r="B334" t="s">
        <v>212</v>
      </c>
      <c r="C334" t="s">
        <v>28</v>
      </c>
      <c r="D334" t="s">
        <v>14</v>
      </c>
      <c r="E334" t="s">
        <v>15</v>
      </c>
      <c r="F334">
        <v>14480.65</v>
      </c>
      <c r="H334">
        <v>4547.66</v>
      </c>
      <c r="J334">
        <v>4000.65</v>
      </c>
      <c r="L334">
        <v>3172.92</v>
      </c>
      <c r="N334">
        <v>880.9</v>
      </c>
    </row>
    <row r="335" spans="1:15" x14ac:dyDescent="0.25">
      <c r="A335" t="s">
        <v>11</v>
      </c>
      <c r="B335" t="s">
        <v>213</v>
      </c>
      <c r="C335" t="s">
        <v>25</v>
      </c>
      <c r="D335" t="s">
        <v>14</v>
      </c>
      <c r="E335" t="s">
        <v>15</v>
      </c>
      <c r="F335">
        <v>91646.41</v>
      </c>
      <c r="H335">
        <v>8617.39</v>
      </c>
      <c r="J335">
        <v>9723.0400000000009</v>
      </c>
      <c r="L335">
        <v>10606.7</v>
      </c>
      <c r="N335">
        <v>10367.040000000001</v>
      </c>
    </row>
    <row r="336" spans="1:15" x14ac:dyDescent="0.25">
      <c r="A336" t="s">
        <v>11</v>
      </c>
      <c r="B336" t="s">
        <v>213</v>
      </c>
      <c r="C336" t="s">
        <v>28</v>
      </c>
      <c r="D336" t="s">
        <v>14</v>
      </c>
      <c r="E336" t="s">
        <v>15</v>
      </c>
      <c r="F336">
        <v>133349.73000000001</v>
      </c>
      <c r="H336">
        <v>14397.24</v>
      </c>
      <c r="J336">
        <v>17220.28</v>
      </c>
      <c r="L336">
        <v>17543.27</v>
      </c>
      <c r="N336">
        <v>17859.89</v>
      </c>
    </row>
    <row r="337" spans="1:15" x14ac:dyDescent="0.25">
      <c r="A337" t="s">
        <v>11</v>
      </c>
      <c r="B337" t="s">
        <v>214</v>
      </c>
      <c r="C337" t="s">
        <v>25</v>
      </c>
      <c r="D337" t="s">
        <v>14</v>
      </c>
      <c r="E337" t="s">
        <v>15</v>
      </c>
      <c r="F337">
        <v>1.52</v>
      </c>
      <c r="H337">
        <v>12.79</v>
      </c>
      <c r="J337">
        <v>0.74</v>
      </c>
      <c r="L337">
        <v>0</v>
      </c>
      <c r="N337">
        <v>99.69</v>
      </c>
    </row>
    <row r="338" spans="1:15" x14ac:dyDescent="0.25">
      <c r="A338" t="s">
        <v>11</v>
      </c>
      <c r="B338" t="s">
        <v>214</v>
      </c>
      <c r="C338" t="s">
        <v>28</v>
      </c>
      <c r="D338" t="s">
        <v>14</v>
      </c>
      <c r="E338" t="s">
        <v>15</v>
      </c>
      <c r="F338">
        <v>0</v>
      </c>
      <c r="G338" t="s">
        <v>19</v>
      </c>
      <c r="H338">
        <v>1041.26</v>
      </c>
      <c r="J338">
        <v>669.68</v>
      </c>
      <c r="L338">
        <v>803.82</v>
      </c>
      <c r="N338">
        <v>199.47</v>
      </c>
    </row>
    <row r="339" spans="1:15" x14ac:dyDescent="0.25">
      <c r="A339" t="s">
        <v>11</v>
      </c>
      <c r="B339" t="s">
        <v>215</v>
      </c>
      <c r="C339" t="s">
        <v>25</v>
      </c>
      <c r="D339" t="s">
        <v>14</v>
      </c>
      <c r="E339" t="s">
        <v>15</v>
      </c>
      <c r="F339">
        <v>0</v>
      </c>
      <c r="G339" t="s">
        <v>19</v>
      </c>
      <c r="H339">
        <v>301.94</v>
      </c>
      <c r="J339">
        <v>764.01</v>
      </c>
      <c r="L339">
        <v>712.59</v>
      </c>
      <c r="N339">
        <v>721.84</v>
      </c>
    </row>
    <row r="340" spans="1:15" x14ac:dyDescent="0.25">
      <c r="A340" t="s">
        <v>11</v>
      </c>
      <c r="B340" t="s">
        <v>215</v>
      </c>
      <c r="C340" t="s">
        <v>28</v>
      </c>
      <c r="D340" t="s">
        <v>14</v>
      </c>
      <c r="E340" t="s">
        <v>15</v>
      </c>
      <c r="F340">
        <v>0</v>
      </c>
      <c r="G340" t="s">
        <v>19</v>
      </c>
      <c r="H340">
        <v>738.75</v>
      </c>
      <c r="J340">
        <v>686.07</v>
      </c>
      <c r="L340">
        <v>542.58000000000004</v>
      </c>
      <c r="N340">
        <v>683.14</v>
      </c>
    </row>
    <row r="341" spans="1:15" x14ac:dyDescent="0.25">
      <c r="A341" t="s">
        <v>11</v>
      </c>
      <c r="B341" t="s">
        <v>216</v>
      </c>
      <c r="C341" t="s">
        <v>13</v>
      </c>
      <c r="D341" t="s">
        <v>14</v>
      </c>
      <c r="E341" t="s">
        <v>15</v>
      </c>
      <c r="F341">
        <v>1495.67</v>
      </c>
      <c r="H341">
        <v>1691.69</v>
      </c>
      <c r="J341">
        <v>930.41</v>
      </c>
      <c r="L341">
        <v>1319.24</v>
      </c>
      <c r="N341">
        <v>2223.7399999999998</v>
      </c>
    </row>
    <row r="342" spans="1:15" x14ac:dyDescent="0.25">
      <c r="A342" t="s">
        <v>11</v>
      </c>
      <c r="B342" t="s">
        <v>217</v>
      </c>
      <c r="C342" t="s">
        <v>25</v>
      </c>
      <c r="D342" t="s">
        <v>14</v>
      </c>
      <c r="E342" t="s">
        <v>15</v>
      </c>
      <c r="F342">
        <v>83.02</v>
      </c>
      <c r="H342">
        <v>12.96</v>
      </c>
      <c r="J342">
        <v>3.36</v>
      </c>
      <c r="L342">
        <v>0</v>
      </c>
      <c r="N342">
        <v>9</v>
      </c>
    </row>
    <row r="343" spans="1:15" x14ac:dyDescent="0.25">
      <c r="A343" t="s">
        <v>11</v>
      </c>
      <c r="B343" t="s">
        <v>218</v>
      </c>
      <c r="C343" t="s">
        <v>13</v>
      </c>
      <c r="D343" t="s">
        <v>14</v>
      </c>
      <c r="E343" t="s">
        <v>15</v>
      </c>
      <c r="F343">
        <v>13400.78</v>
      </c>
      <c r="H343">
        <v>14574.98</v>
      </c>
      <c r="J343">
        <v>12885.06</v>
      </c>
      <c r="L343">
        <v>9986.3700000000008</v>
      </c>
      <c r="N343">
        <v>11189.33</v>
      </c>
    </row>
    <row r="344" spans="1:15" x14ac:dyDescent="0.25">
      <c r="A344" t="s">
        <v>11</v>
      </c>
      <c r="B344" t="s">
        <v>219</v>
      </c>
      <c r="C344" t="s">
        <v>25</v>
      </c>
      <c r="D344" t="s">
        <v>14</v>
      </c>
      <c r="E344" t="s">
        <v>15</v>
      </c>
      <c r="F344">
        <v>14525.38</v>
      </c>
      <c r="H344">
        <v>0</v>
      </c>
      <c r="I344" t="s">
        <v>19</v>
      </c>
      <c r="J344">
        <v>0</v>
      </c>
      <c r="K344" t="s">
        <v>19</v>
      </c>
      <c r="L344">
        <v>0</v>
      </c>
      <c r="M344" t="s">
        <v>19</v>
      </c>
      <c r="N344">
        <v>0</v>
      </c>
      <c r="O344" t="s">
        <v>19</v>
      </c>
    </row>
    <row r="345" spans="1:15" x14ac:dyDescent="0.25">
      <c r="A345" t="s">
        <v>11</v>
      </c>
      <c r="B345" t="s">
        <v>219</v>
      </c>
      <c r="C345" t="s">
        <v>28</v>
      </c>
      <c r="D345" t="s">
        <v>14</v>
      </c>
      <c r="E345" t="s">
        <v>15</v>
      </c>
      <c r="F345">
        <v>47651.86</v>
      </c>
      <c r="H345">
        <v>0</v>
      </c>
      <c r="I345" t="s">
        <v>19</v>
      </c>
      <c r="J345">
        <v>0</v>
      </c>
      <c r="K345" t="s">
        <v>19</v>
      </c>
      <c r="L345">
        <v>0</v>
      </c>
      <c r="M345" t="s">
        <v>19</v>
      </c>
      <c r="N345">
        <v>0</v>
      </c>
      <c r="O345" t="s">
        <v>19</v>
      </c>
    </row>
    <row r="346" spans="1:15" x14ac:dyDescent="0.25">
      <c r="A346" t="s">
        <v>11</v>
      </c>
      <c r="B346" t="s">
        <v>220</v>
      </c>
      <c r="C346" t="s">
        <v>13</v>
      </c>
      <c r="D346" t="s">
        <v>14</v>
      </c>
      <c r="E346" t="s">
        <v>15</v>
      </c>
      <c r="F346">
        <v>4661.34</v>
      </c>
      <c r="H346">
        <v>18276.71</v>
      </c>
      <c r="J346">
        <v>13139.91</v>
      </c>
      <c r="L346">
        <v>11773.45</v>
      </c>
      <c r="N346">
        <v>13251.92</v>
      </c>
    </row>
    <row r="347" spans="1:15" x14ac:dyDescent="0.25">
      <c r="A347" t="s">
        <v>11</v>
      </c>
      <c r="B347" t="s">
        <v>221</v>
      </c>
      <c r="C347" t="s">
        <v>25</v>
      </c>
      <c r="D347" t="s">
        <v>14</v>
      </c>
      <c r="E347" t="s">
        <v>15</v>
      </c>
      <c r="F347">
        <v>1742.46</v>
      </c>
      <c r="H347">
        <v>2310.16</v>
      </c>
      <c r="J347">
        <v>2433.71</v>
      </c>
      <c r="L347">
        <v>739.71</v>
      </c>
      <c r="N347">
        <v>789.23</v>
      </c>
    </row>
    <row r="348" spans="1:15" x14ac:dyDescent="0.25">
      <c r="A348" t="s">
        <v>11</v>
      </c>
      <c r="B348" t="s">
        <v>221</v>
      </c>
      <c r="C348" t="s">
        <v>28</v>
      </c>
      <c r="D348" t="s">
        <v>14</v>
      </c>
      <c r="E348" t="s">
        <v>15</v>
      </c>
      <c r="F348">
        <v>248.72</v>
      </c>
      <c r="H348">
        <v>128.5</v>
      </c>
      <c r="J348">
        <v>1706.97</v>
      </c>
      <c r="L348">
        <v>584.62</v>
      </c>
      <c r="N348">
        <v>466.4</v>
      </c>
    </row>
    <row r="349" spans="1:15" x14ac:dyDescent="0.25">
      <c r="A349" t="s">
        <v>11</v>
      </c>
      <c r="B349" t="s">
        <v>222</v>
      </c>
      <c r="C349" t="s">
        <v>25</v>
      </c>
      <c r="D349" t="s">
        <v>14</v>
      </c>
      <c r="E349" t="s">
        <v>15</v>
      </c>
      <c r="F349">
        <v>0</v>
      </c>
      <c r="G349" t="s">
        <v>19</v>
      </c>
      <c r="H349">
        <v>9122.15</v>
      </c>
      <c r="J349">
        <v>3305.41</v>
      </c>
      <c r="L349">
        <v>7635.96</v>
      </c>
      <c r="N349">
        <v>5530.71</v>
      </c>
    </row>
    <row r="350" spans="1:15" x14ac:dyDescent="0.25">
      <c r="A350" t="s">
        <v>11</v>
      </c>
      <c r="B350" t="s">
        <v>222</v>
      </c>
      <c r="C350" t="s">
        <v>28</v>
      </c>
      <c r="D350" t="s">
        <v>14</v>
      </c>
      <c r="E350" t="s">
        <v>15</v>
      </c>
      <c r="F350">
        <v>0</v>
      </c>
      <c r="G350" t="s">
        <v>19</v>
      </c>
      <c r="H350">
        <v>3926.91</v>
      </c>
      <c r="J350">
        <v>6109.18</v>
      </c>
      <c r="L350">
        <v>6889.99</v>
      </c>
      <c r="N350">
        <v>11465.93</v>
      </c>
    </row>
    <row r="351" spans="1:15" x14ac:dyDescent="0.25">
      <c r="A351" t="s">
        <v>11</v>
      </c>
      <c r="B351" t="s">
        <v>223</v>
      </c>
      <c r="C351" t="s">
        <v>25</v>
      </c>
      <c r="D351" t="s">
        <v>14</v>
      </c>
      <c r="E351" t="s">
        <v>15</v>
      </c>
      <c r="F351">
        <v>78926.38</v>
      </c>
      <c r="H351">
        <v>128987.34</v>
      </c>
      <c r="J351">
        <v>116119.43</v>
      </c>
      <c r="L351">
        <v>132165.07999999999</v>
      </c>
      <c r="N351">
        <v>143332.56</v>
      </c>
    </row>
    <row r="352" spans="1:15" x14ac:dyDescent="0.25">
      <c r="A352" t="s">
        <v>11</v>
      </c>
      <c r="B352" t="s">
        <v>223</v>
      </c>
      <c r="C352" t="s">
        <v>28</v>
      </c>
      <c r="D352" t="s">
        <v>14</v>
      </c>
      <c r="E352" t="s">
        <v>15</v>
      </c>
      <c r="F352">
        <v>291441</v>
      </c>
      <c r="H352">
        <v>297860</v>
      </c>
      <c r="J352">
        <v>258169</v>
      </c>
      <c r="L352">
        <v>272193</v>
      </c>
      <c r="N352">
        <v>263438</v>
      </c>
    </row>
    <row r="353" spans="1:15" x14ac:dyDescent="0.25">
      <c r="A353" t="s">
        <v>11</v>
      </c>
      <c r="B353" t="s">
        <v>224</v>
      </c>
      <c r="C353" t="s">
        <v>25</v>
      </c>
      <c r="D353" t="s">
        <v>14</v>
      </c>
      <c r="E353" t="s">
        <v>15</v>
      </c>
      <c r="F353">
        <v>0</v>
      </c>
      <c r="G353" t="s">
        <v>19</v>
      </c>
      <c r="H353">
        <v>145.83000000000001</v>
      </c>
      <c r="J353">
        <v>291.20999999999998</v>
      </c>
      <c r="L353">
        <v>210.23</v>
      </c>
      <c r="N353">
        <v>392.05</v>
      </c>
    </row>
    <row r="354" spans="1:15" x14ac:dyDescent="0.25">
      <c r="A354" t="s">
        <v>11</v>
      </c>
      <c r="B354" t="s">
        <v>224</v>
      </c>
      <c r="C354" t="s">
        <v>28</v>
      </c>
      <c r="D354" t="s">
        <v>14</v>
      </c>
      <c r="E354" t="s">
        <v>15</v>
      </c>
      <c r="F354">
        <v>0</v>
      </c>
      <c r="G354" t="s">
        <v>19</v>
      </c>
      <c r="H354">
        <v>3583.51</v>
      </c>
      <c r="J354">
        <v>899.89</v>
      </c>
      <c r="L354">
        <v>1934.33</v>
      </c>
      <c r="N354">
        <v>1439.96</v>
      </c>
    </row>
    <row r="355" spans="1:15" x14ac:dyDescent="0.25">
      <c r="A355" t="s">
        <v>11</v>
      </c>
      <c r="B355" t="s">
        <v>225</v>
      </c>
      <c r="C355" t="s">
        <v>13</v>
      </c>
      <c r="D355" t="s">
        <v>14</v>
      </c>
      <c r="E355" t="s">
        <v>15</v>
      </c>
      <c r="F355">
        <v>246.79</v>
      </c>
      <c r="H355">
        <v>23.15</v>
      </c>
      <c r="J355">
        <v>1.79</v>
      </c>
      <c r="L355">
        <v>5.05</v>
      </c>
      <c r="N355">
        <v>2.57</v>
      </c>
    </row>
    <row r="356" spans="1:15" x14ac:dyDescent="0.25">
      <c r="A356" t="s">
        <v>11</v>
      </c>
      <c r="B356" t="s">
        <v>226</v>
      </c>
      <c r="C356" t="s">
        <v>25</v>
      </c>
      <c r="D356" t="s">
        <v>14</v>
      </c>
      <c r="E356" t="s">
        <v>15</v>
      </c>
      <c r="F356">
        <v>0</v>
      </c>
      <c r="G356" t="s">
        <v>19</v>
      </c>
      <c r="H356">
        <v>181.5</v>
      </c>
      <c r="J356">
        <v>120.17</v>
      </c>
      <c r="L356">
        <v>809.87</v>
      </c>
      <c r="N356">
        <v>380.52</v>
      </c>
    </row>
    <row r="357" spans="1:15" x14ac:dyDescent="0.25">
      <c r="A357" t="s">
        <v>11</v>
      </c>
      <c r="B357" t="s">
        <v>226</v>
      </c>
      <c r="C357" t="s">
        <v>28</v>
      </c>
      <c r="D357" t="s">
        <v>14</v>
      </c>
      <c r="E357" t="s">
        <v>15</v>
      </c>
      <c r="F357">
        <v>0</v>
      </c>
      <c r="G357" t="s">
        <v>19</v>
      </c>
      <c r="H357">
        <v>595.66</v>
      </c>
      <c r="J357">
        <v>43.28</v>
      </c>
      <c r="L357">
        <v>136.93</v>
      </c>
      <c r="N357">
        <v>376</v>
      </c>
    </row>
    <row r="358" spans="1:15" x14ac:dyDescent="0.25">
      <c r="A358" t="s">
        <v>11</v>
      </c>
      <c r="B358" t="s">
        <v>227</v>
      </c>
      <c r="C358" t="s">
        <v>13</v>
      </c>
      <c r="D358" t="s">
        <v>14</v>
      </c>
      <c r="E358" t="s">
        <v>15</v>
      </c>
      <c r="F358">
        <v>49694.58</v>
      </c>
      <c r="H358">
        <v>7868.22</v>
      </c>
      <c r="J358">
        <v>7758.71</v>
      </c>
      <c r="L358">
        <v>3256.71</v>
      </c>
      <c r="N358">
        <v>3331.69</v>
      </c>
    </row>
    <row r="359" spans="1:15" x14ac:dyDescent="0.25">
      <c r="A359" t="s">
        <v>11</v>
      </c>
      <c r="B359" t="s">
        <v>228</v>
      </c>
      <c r="C359" t="s">
        <v>25</v>
      </c>
      <c r="D359" t="s">
        <v>14</v>
      </c>
      <c r="E359" t="s">
        <v>15</v>
      </c>
      <c r="F359">
        <v>55797.71</v>
      </c>
      <c r="H359">
        <v>22708.55</v>
      </c>
      <c r="J359">
        <v>24780.28</v>
      </c>
      <c r="L359">
        <v>19427.560000000001</v>
      </c>
      <c r="N359">
        <v>24010.16</v>
      </c>
    </row>
    <row r="360" spans="1:15" x14ac:dyDescent="0.25">
      <c r="A360" t="s">
        <v>11</v>
      </c>
      <c r="B360" t="s">
        <v>228</v>
      </c>
      <c r="C360" t="s">
        <v>28</v>
      </c>
      <c r="D360" t="s">
        <v>14</v>
      </c>
      <c r="E360" t="s">
        <v>15</v>
      </c>
      <c r="F360">
        <v>283354.73</v>
      </c>
      <c r="H360">
        <v>98121.45</v>
      </c>
      <c r="J360">
        <v>107004.9</v>
      </c>
      <c r="L360">
        <v>127835.49</v>
      </c>
      <c r="N360">
        <v>151341.51999999999</v>
      </c>
    </row>
    <row r="361" spans="1:15" x14ac:dyDescent="0.25">
      <c r="A361" t="s">
        <v>11</v>
      </c>
      <c r="B361" t="s">
        <v>229</v>
      </c>
      <c r="C361" t="s">
        <v>25</v>
      </c>
      <c r="D361" t="s">
        <v>14</v>
      </c>
      <c r="E361" t="s">
        <v>15</v>
      </c>
      <c r="F361">
        <v>0</v>
      </c>
      <c r="G361" t="s">
        <v>19</v>
      </c>
      <c r="H361">
        <v>37855.08</v>
      </c>
      <c r="J361">
        <v>34467.39</v>
      </c>
      <c r="L361">
        <v>19565.41</v>
      </c>
      <c r="N361">
        <v>20456.419999999998</v>
      </c>
    </row>
    <row r="362" spans="1:15" x14ac:dyDescent="0.25">
      <c r="A362" t="s">
        <v>11</v>
      </c>
      <c r="B362" t="s">
        <v>229</v>
      </c>
      <c r="C362" t="s">
        <v>28</v>
      </c>
      <c r="D362" t="s">
        <v>14</v>
      </c>
      <c r="E362" t="s">
        <v>15</v>
      </c>
      <c r="F362">
        <v>0</v>
      </c>
      <c r="G362" t="s">
        <v>19</v>
      </c>
      <c r="H362">
        <v>94695.77</v>
      </c>
      <c r="J362">
        <v>120647.67</v>
      </c>
      <c r="L362">
        <v>129361.31</v>
      </c>
      <c r="N362">
        <v>111302.9</v>
      </c>
    </row>
    <row r="363" spans="1:15" x14ac:dyDescent="0.25">
      <c r="A363" t="s">
        <v>11</v>
      </c>
      <c r="B363" t="s">
        <v>230</v>
      </c>
      <c r="C363" t="s">
        <v>25</v>
      </c>
      <c r="D363" t="s">
        <v>14</v>
      </c>
      <c r="E363" t="s">
        <v>15</v>
      </c>
      <c r="F363">
        <v>1086.6099999999999</v>
      </c>
      <c r="H363">
        <v>1206.03</v>
      </c>
      <c r="J363">
        <v>1297.67</v>
      </c>
      <c r="L363">
        <v>1122.71</v>
      </c>
      <c r="N363">
        <v>1031.4000000000001</v>
      </c>
    </row>
    <row r="364" spans="1:15" x14ac:dyDescent="0.25">
      <c r="A364" t="s">
        <v>11</v>
      </c>
      <c r="B364" t="s">
        <v>231</v>
      </c>
      <c r="C364" t="s">
        <v>232</v>
      </c>
      <c r="D364" t="s">
        <v>90</v>
      </c>
      <c r="E364" t="s">
        <v>15</v>
      </c>
      <c r="F364">
        <v>0</v>
      </c>
      <c r="G364" t="s">
        <v>19</v>
      </c>
      <c r="H364">
        <v>0</v>
      </c>
      <c r="I364" t="s">
        <v>19</v>
      </c>
      <c r="J364">
        <v>0</v>
      </c>
      <c r="K364" t="s">
        <v>19</v>
      </c>
      <c r="L364">
        <v>0</v>
      </c>
      <c r="M364" t="s">
        <v>19</v>
      </c>
      <c r="N364">
        <v>0</v>
      </c>
      <c r="O364" t="s">
        <v>19</v>
      </c>
    </row>
    <row r="365" spans="1:15" x14ac:dyDescent="0.25">
      <c r="A365" t="s">
        <v>11</v>
      </c>
      <c r="B365" t="s">
        <v>231</v>
      </c>
      <c r="C365" t="s">
        <v>28</v>
      </c>
      <c r="D365" t="s">
        <v>90</v>
      </c>
      <c r="E365" t="s">
        <v>15</v>
      </c>
      <c r="F365">
        <v>0</v>
      </c>
      <c r="G365" t="s">
        <v>19</v>
      </c>
      <c r="H365">
        <v>0</v>
      </c>
      <c r="I365" t="s">
        <v>19</v>
      </c>
      <c r="J365">
        <v>0</v>
      </c>
      <c r="K365" t="s">
        <v>19</v>
      </c>
      <c r="L365">
        <v>18</v>
      </c>
      <c r="N365">
        <v>0</v>
      </c>
      <c r="O365" t="s">
        <v>19</v>
      </c>
    </row>
    <row r="366" spans="1:15" x14ac:dyDescent="0.25">
      <c r="A366" t="s">
        <v>11</v>
      </c>
      <c r="B366" t="s">
        <v>233</v>
      </c>
      <c r="C366" t="s">
        <v>13</v>
      </c>
      <c r="D366" t="s">
        <v>14</v>
      </c>
      <c r="E366" t="s">
        <v>15</v>
      </c>
      <c r="F366">
        <v>0</v>
      </c>
      <c r="G366" t="s">
        <v>19</v>
      </c>
      <c r="H366">
        <v>15.66</v>
      </c>
      <c r="J366">
        <v>4.5199999999999996</v>
      </c>
      <c r="L366">
        <v>4.5199999999999996</v>
      </c>
      <c r="N366">
        <v>19.34</v>
      </c>
    </row>
    <row r="367" spans="1:15" x14ac:dyDescent="0.25">
      <c r="A367" t="s">
        <v>11</v>
      </c>
      <c r="B367" t="s">
        <v>233</v>
      </c>
      <c r="C367" t="s">
        <v>25</v>
      </c>
      <c r="D367" t="s">
        <v>14</v>
      </c>
      <c r="E367" t="s">
        <v>15</v>
      </c>
      <c r="F367">
        <v>7426.63</v>
      </c>
      <c r="H367">
        <v>10755.04</v>
      </c>
      <c r="J367">
        <v>10708.85</v>
      </c>
      <c r="L367">
        <v>7197.32</v>
      </c>
      <c r="N367">
        <v>8642.33</v>
      </c>
    </row>
    <row r="368" spans="1:15" x14ac:dyDescent="0.25">
      <c r="A368" t="s">
        <v>11</v>
      </c>
      <c r="B368" t="s">
        <v>233</v>
      </c>
      <c r="C368" t="s">
        <v>28</v>
      </c>
      <c r="D368" t="s">
        <v>14</v>
      </c>
      <c r="E368" t="s">
        <v>15</v>
      </c>
      <c r="F368">
        <v>76637.25</v>
      </c>
      <c r="H368">
        <v>85836.97</v>
      </c>
      <c r="J368">
        <v>68246.600000000006</v>
      </c>
      <c r="L368">
        <v>75104.92</v>
      </c>
      <c r="N368">
        <v>79850.039999999994</v>
      </c>
    </row>
    <row r="369" spans="1:14" x14ac:dyDescent="0.25">
      <c r="A369" t="s">
        <v>11</v>
      </c>
      <c r="B369" t="s">
        <v>234</v>
      </c>
      <c r="C369" t="s">
        <v>13</v>
      </c>
      <c r="D369" t="s">
        <v>14</v>
      </c>
      <c r="E369" t="s">
        <v>15</v>
      </c>
      <c r="F369">
        <v>9518.84</v>
      </c>
      <c r="H369">
        <v>11722.66</v>
      </c>
      <c r="J369">
        <v>5768.74</v>
      </c>
      <c r="L369">
        <v>4825.53</v>
      </c>
      <c r="N369">
        <v>1058.67</v>
      </c>
    </row>
    <row r="370" spans="1:14" x14ac:dyDescent="0.25">
      <c r="A370" t="s">
        <v>11</v>
      </c>
      <c r="B370" t="s">
        <v>235</v>
      </c>
      <c r="C370" t="s">
        <v>25</v>
      </c>
      <c r="D370" t="s">
        <v>14</v>
      </c>
      <c r="E370" t="s">
        <v>15</v>
      </c>
      <c r="F370">
        <v>0</v>
      </c>
      <c r="G370" t="s">
        <v>19</v>
      </c>
      <c r="H370">
        <v>8311.65</v>
      </c>
      <c r="J370">
        <v>6246.1</v>
      </c>
      <c r="L370">
        <v>7870.26</v>
      </c>
      <c r="N370">
        <v>7884.9</v>
      </c>
    </row>
    <row r="371" spans="1:14" x14ac:dyDescent="0.25">
      <c r="A371" t="s">
        <v>11</v>
      </c>
      <c r="B371" t="s">
        <v>235</v>
      </c>
      <c r="C371" t="s">
        <v>28</v>
      </c>
      <c r="D371" t="s">
        <v>14</v>
      </c>
      <c r="E371" t="s">
        <v>15</v>
      </c>
      <c r="F371">
        <v>0</v>
      </c>
      <c r="G371" t="s">
        <v>19</v>
      </c>
      <c r="H371">
        <v>18373.009999999998</v>
      </c>
      <c r="J371">
        <v>21214.31</v>
      </c>
      <c r="L371">
        <v>51473.3</v>
      </c>
      <c r="N371">
        <v>38532.43</v>
      </c>
    </row>
    <row r="372" spans="1:14" x14ac:dyDescent="0.25">
      <c r="A372" t="s">
        <v>11</v>
      </c>
      <c r="B372" t="s">
        <v>236</v>
      </c>
      <c r="C372" t="s">
        <v>28</v>
      </c>
      <c r="D372" t="s">
        <v>14</v>
      </c>
      <c r="E372" t="s">
        <v>15</v>
      </c>
      <c r="F372">
        <v>0</v>
      </c>
      <c r="G372" t="s">
        <v>19</v>
      </c>
      <c r="H372">
        <v>420.8</v>
      </c>
      <c r="J372">
        <v>139.03</v>
      </c>
      <c r="L372">
        <v>133.33000000000001</v>
      </c>
      <c r="N372">
        <v>142.07</v>
      </c>
    </row>
    <row r="373" spans="1:14" x14ac:dyDescent="0.25">
      <c r="A373" t="s">
        <v>11</v>
      </c>
      <c r="B373" t="s">
        <v>237</v>
      </c>
      <c r="C373" t="s">
        <v>25</v>
      </c>
      <c r="D373" t="s">
        <v>14</v>
      </c>
      <c r="E373" t="s">
        <v>15</v>
      </c>
      <c r="F373">
        <v>0</v>
      </c>
      <c r="G373" t="s">
        <v>19</v>
      </c>
      <c r="H373">
        <v>271.33</v>
      </c>
      <c r="J373">
        <v>433.13</v>
      </c>
      <c r="L373">
        <v>450.46</v>
      </c>
      <c r="N373">
        <v>462.49</v>
      </c>
    </row>
    <row r="374" spans="1:14" x14ac:dyDescent="0.25">
      <c r="A374" t="s">
        <v>11</v>
      </c>
      <c r="B374" t="s">
        <v>237</v>
      </c>
      <c r="C374" t="s">
        <v>28</v>
      </c>
      <c r="D374" t="s">
        <v>14</v>
      </c>
      <c r="E374" t="s">
        <v>15</v>
      </c>
      <c r="F374">
        <v>0</v>
      </c>
      <c r="G374" t="s">
        <v>19</v>
      </c>
      <c r="H374">
        <v>9006.2000000000007</v>
      </c>
      <c r="J374">
        <v>11491.84</v>
      </c>
      <c r="L374">
        <v>7202.04</v>
      </c>
      <c r="N374">
        <v>6783.92</v>
      </c>
    </row>
    <row r="375" spans="1:14" x14ac:dyDescent="0.25">
      <c r="A375" t="s">
        <v>11</v>
      </c>
      <c r="B375" t="s">
        <v>238</v>
      </c>
      <c r="C375" t="s">
        <v>25</v>
      </c>
      <c r="D375" t="s">
        <v>14</v>
      </c>
      <c r="E375" t="s">
        <v>15</v>
      </c>
      <c r="F375">
        <v>29.82</v>
      </c>
      <c r="H375">
        <v>17895.77</v>
      </c>
      <c r="J375">
        <v>11308.65</v>
      </c>
      <c r="L375">
        <v>4155.1099999999997</v>
      </c>
      <c r="N375">
        <v>4150.24</v>
      </c>
    </row>
    <row r="376" spans="1:14" x14ac:dyDescent="0.25">
      <c r="A376" t="s">
        <v>11</v>
      </c>
      <c r="B376" t="s">
        <v>238</v>
      </c>
      <c r="C376" t="s">
        <v>28</v>
      </c>
      <c r="D376" t="s">
        <v>14</v>
      </c>
      <c r="E376" t="s">
        <v>15</v>
      </c>
      <c r="F376">
        <v>268.38</v>
      </c>
      <c r="H376">
        <v>14767.18</v>
      </c>
      <c r="J376">
        <v>19805.150000000001</v>
      </c>
      <c r="L376">
        <v>21611.88</v>
      </c>
      <c r="N376">
        <v>21820.59</v>
      </c>
    </row>
    <row r="377" spans="1:14" x14ac:dyDescent="0.25">
      <c r="A377" t="s">
        <v>11</v>
      </c>
      <c r="B377" t="s">
        <v>239</v>
      </c>
      <c r="C377" t="s">
        <v>25</v>
      </c>
      <c r="D377" t="s">
        <v>14</v>
      </c>
      <c r="E377" t="s">
        <v>15</v>
      </c>
      <c r="F377">
        <v>47296.06</v>
      </c>
      <c r="H377">
        <v>5743.6</v>
      </c>
      <c r="J377">
        <v>6586.46</v>
      </c>
      <c r="L377">
        <v>15862.06</v>
      </c>
      <c r="N377">
        <v>14315.57</v>
      </c>
    </row>
    <row r="378" spans="1:14" x14ac:dyDescent="0.25">
      <c r="A378" t="s">
        <v>11</v>
      </c>
      <c r="B378" t="s">
        <v>239</v>
      </c>
      <c r="C378" t="s">
        <v>28</v>
      </c>
      <c r="D378" t="s">
        <v>14</v>
      </c>
      <c r="E378" t="s">
        <v>15</v>
      </c>
      <c r="F378">
        <v>118016.45</v>
      </c>
      <c r="H378">
        <v>56362.74</v>
      </c>
      <c r="J378">
        <v>38223.86</v>
      </c>
      <c r="L378">
        <v>54959.85</v>
      </c>
      <c r="N378">
        <v>68126.460000000006</v>
      </c>
    </row>
    <row r="379" spans="1:14" x14ac:dyDescent="0.25">
      <c r="A379" t="s">
        <v>11</v>
      </c>
      <c r="B379" t="s">
        <v>240</v>
      </c>
      <c r="C379" t="s">
        <v>25</v>
      </c>
      <c r="D379" t="s">
        <v>14</v>
      </c>
      <c r="E379" t="s">
        <v>15</v>
      </c>
      <c r="F379">
        <v>0</v>
      </c>
      <c r="G379" t="s">
        <v>19</v>
      </c>
      <c r="H379">
        <v>1232.72</v>
      </c>
      <c r="J379">
        <v>1365.73</v>
      </c>
      <c r="L379">
        <v>508.04</v>
      </c>
      <c r="N379">
        <v>555.97</v>
      </c>
    </row>
    <row r="380" spans="1:14" x14ac:dyDescent="0.25">
      <c r="A380" t="s">
        <v>11</v>
      </c>
      <c r="B380" t="s">
        <v>240</v>
      </c>
      <c r="C380" t="s">
        <v>28</v>
      </c>
      <c r="D380" t="s">
        <v>14</v>
      </c>
      <c r="E380" t="s">
        <v>15</v>
      </c>
      <c r="F380">
        <v>0</v>
      </c>
      <c r="G380" t="s">
        <v>19</v>
      </c>
      <c r="H380">
        <v>7229.69</v>
      </c>
      <c r="J380">
        <v>2096.85</v>
      </c>
      <c r="L380">
        <v>837.66</v>
      </c>
      <c r="N380">
        <v>4094.3</v>
      </c>
    </row>
    <row r="381" spans="1:14" x14ac:dyDescent="0.25">
      <c r="A381" t="s">
        <v>11</v>
      </c>
      <c r="B381" t="s">
        <v>241</v>
      </c>
      <c r="C381" t="s">
        <v>25</v>
      </c>
      <c r="D381" t="s">
        <v>14</v>
      </c>
      <c r="E381" t="s">
        <v>15</v>
      </c>
      <c r="F381">
        <v>23.06</v>
      </c>
      <c r="H381">
        <v>0</v>
      </c>
      <c r="J381">
        <v>0</v>
      </c>
      <c r="L381">
        <v>0</v>
      </c>
      <c r="N381">
        <v>68.650000000000006</v>
      </c>
    </row>
    <row r="382" spans="1:14" x14ac:dyDescent="0.25">
      <c r="A382" t="s">
        <v>11</v>
      </c>
      <c r="B382" t="s">
        <v>241</v>
      </c>
      <c r="C382" t="s">
        <v>28</v>
      </c>
      <c r="D382" t="s">
        <v>14</v>
      </c>
      <c r="E382" t="s">
        <v>15</v>
      </c>
      <c r="F382">
        <v>1974.08</v>
      </c>
      <c r="H382">
        <v>325.52</v>
      </c>
      <c r="J382">
        <v>589.79</v>
      </c>
      <c r="L382">
        <v>6.69</v>
      </c>
      <c r="N382">
        <v>14.6</v>
      </c>
    </row>
    <row r="383" spans="1:14" x14ac:dyDescent="0.25">
      <c r="A383" t="s">
        <v>11</v>
      </c>
      <c r="B383" t="s">
        <v>242</v>
      </c>
      <c r="C383" t="s">
        <v>25</v>
      </c>
      <c r="D383" t="s">
        <v>14</v>
      </c>
      <c r="E383" t="s">
        <v>15</v>
      </c>
      <c r="F383">
        <v>369.81</v>
      </c>
      <c r="H383">
        <v>576.91999999999996</v>
      </c>
      <c r="J383">
        <v>603.22</v>
      </c>
      <c r="L383">
        <v>431.79</v>
      </c>
      <c r="N383">
        <v>471.09</v>
      </c>
    </row>
    <row r="384" spans="1:14" x14ac:dyDescent="0.25">
      <c r="A384" t="s">
        <v>11</v>
      </c>
      <c r="B384" t="s">
        <v>242</v>
      </c>
      <c r="C384" t="s">
        <v>28</v>
      </c>
      <c r="D384" t="s">
        <v>14</v>
      </c>
      <c r="E384" t="s">
        <v>15</v>
      </c>
      <c r="F384">
        <v>122.94</v>
      </c>
      <c r="H384">
        <v>290.74</v>
      </c>
      <c r="J384">
        <v>334.82</v>
      </c>
      <c r="L384">
        <v>2634.26</v>
      </c>
      <c r="N384">
        <v>420.09</v>
      </c>
    </row>
    <row r="385" spans="1:15" x14ac:dyDescent="0.25">
      <c r="A385" t="s">
        <v>11</v>
      </c>
      <c r="B385" t="s">
        <v>243</v>
      </c>
      <c r="C385" t="s">
        <v>13</v>
      </c>
      <c r="D385" t="s">
        <v>14</v>
      </c>
      <c r="E385" t="s">
        <v>15</v>
      </c>
      <c r="F385">
        <v>97659.42</v>
      </c>
      <c r="H385">
        <v>75073.58</v>
      </c>
      <c r="J385">
        <v>44299.22</v>
      </c>
      <c r="L385">
        <v>43481.36</v>
      </c>
      <c r="N385">
        <v>45285.49</v>
      </c>
    </row>
    <row r="386" spans="1:15" x14ac:dyDescent="0.25">
      <c r="A386" t="s">
        <v>11</v>
      </c>
      <c r="B386" t="s">
        <v>244</v>
      </c>
      <c r="C386" t="s">
        <v>13</v>
      </c>
      <c r="D386" t="s">
        <v>14</v>
      </c>
      <c r="E386" t="s">
        <v>15</v>
      </c>
      <c r="F386">
        <v>0</v>
      </c>
      <c r="G386" t="s">
        <v>19</v>
      </c>
      <c r="H386">
        <v>16.47</v>
      </c>
      <c r="J386">
        <v>1.97</v>
      </c>
      <c r="L386">
        <v>7.47</v>
      </c>
      <c r="N386">
        <v>4.88</v>
      </c>
    </row>
    <row r="387" spans="1:15" x14ac:dyDescent="0.25">
      <c r="A387" t="s">
        <v>11</v>
      </c>
      <c r="B387" t="s">
        <v>245</v>
      </c>
      <c r="C387" t="s">
        <v>25</v>
      </c>
      <c r="D387" t="s">
        <v>14</v>
      </c>
      <c r="E387" t="s">
        <v>15</v>
      </c>
      <c r="F387">
        <v>0</v>
      </c>
      <c r="G387" t="s">
        <v>19</v>
      </c>
      <c r="H387">
        <v>49.49</v>
      </c>
      <c r="J387">
        <v>42.46</v>
      </c>
      <c r="L387">
        <v>8.09</v>
      </c>
      <c r="N387">
        <v>0</v>
      </c>
      <c r="O387" t="s">
        <v>19</v>
      </c>
    </row>
    <row r="388" spans="1:15" x14ac:dyDescent="0.25">
      <c r="A388" t="s">
        <v>11</v>
      </c>
      <c r="B388" t="s">
        <v>245</v>
      </c>
      <c r="C388" t="s">
        <v>28</v>
      </c>
      <c r="D388" t="s">
        <v>14</v>
      </c>
      <c r="E388" t="s">
        <v>15</v>
      </c>
      <c r="F388">
        <v>0</v>
      </c>
      <c r="G388" t="s">
        <v>19</v>
      </c>
      <c r="H388">
        <v>5505.73</v>
      </c>
      <c r="J388">
        <v>10700.54</v>
      </c>
      <c r="L388">
        <v>8730.1299999999992</v>
      </c>
      <c r="N388">
        <v>11430.38</v>
      </c>
    </row>
    <row r="389" spans="1:15" x14ac:dyDescent="0.25">
      <c r="A389" t="s">
        <v>11</v>
      </c>
      <c r="B389" t="s">
        <v>246</v>
      </c>
      <c r="C389" t="s">
        <v>25</v>
      </c>
      <c r="D389" t="s">
        <v>14</v>
      </c>
      <c r="E389" t="s">
        <v>15</v>
      </c>
      <c r="F389">
        <v>274.27</v>
      </c>
      <c r="H389">
        <v>4751.88</v>
      </c>
      <c r="J389">
        <v>9261.2999999999993</v>
      </c>
      <c r="L389">
        <v>5927.68</v>
      </c>
      <c r="N389">
        <v>6076.2</v>
      </c>
    </row>
    <row r="390" spans="1:15" x14ac:dyDescent="0.25">
      <c r="A390" t="s">
        <v>11</v>
      </c>
      <c r="B390" t="s">
        <v>246</v>
      </c>
      <c r="C390" t="s">
        <v>28</v>
      </c>
      <c r="D390" t="s">
        <v>14</v>
      </c>
      <c r="E390" t="s">
        <v>15</v>
      </c>
      <c r="F390">
        <v>1808.97</v>
      </c>
      <c r="H390">
        <v>30386.65</v>
      </c>
      <c r="J390">
        <v>32672.33</v>
      </c>
      <c r="L390">
        <v>30161.119999999999</v>
      </c>
      <c r="N390">
        <v>39531.519999999997</v>
      </c>
    </row>
    <row r="391" spans="1:15" x14ac:dyDescent="0.25">
      <c r="A391" t="s">
        <v>11</v>
      </c>
      <c r="B391" t="s">
        <v>247</v>
      </c>
      <c r="C391" t="s">
        <v>25</v>
      </c>
      <c r="D391" t="s">
        <v>14</v>
      </c>
      <c r="E391" t="s">
        <v>15</v>
      </c>
      <c r="F391">
        <v>981.66</v>
      </c>
      <c r="H391">
        <v>1875.9</v>
      </c>
      <c r="J391">
        <v>2149.65</v>
      </c>
      <c r="L391">
        <v>1411.08</v>
      </c>
      <c r="N391">
        <v>2360.9499999999998</v>
      </c>
    </row>
    <row r="392" spans="1:15" x14ac:dyDescent="0.25">
      <c r="A392" t="s">
        <v>11</v>
      </c>
      <c r="B392" t="s">
        <v>247</v>
      </c>
      <c r="C392" t="s">
        <v>28</v>
      </c>
      <c r="D392" t="s">
        <v>14</v>
      </c>
      <c r="E392" t="s">
        <v>15</v>
      </c>
      <c r="F392">
        <v>2049.1999999999998</v>
      </c>
      <c r="H392">
        <v>196.2</v>
      </c>
      <c r="J392">
        <v>445.76</v>
      </c>
      <c r="L392">
        <v>622.27</v>
      </c>
      <c r="N392">
        <v>290.41000000000003</v>
      </c>
    </row>
    <row r="393" spans="1:15" x14ac:dyDescent="0.25">
      <c r="A393" t="s">
        <v>11</v>
      </c>
      <c r="B393" t="s">
        <v>248</v>
      </c>
      <c r="C393" t="s">
        <v>25</v>
      </c>
      <c r="D393" t="s">
        <v>14</v>
      </c>
      <c r="E393" t="s">
        <v>15</v>
      </c>
      <c r="F393">
        <v>2683.43</v>
      </c>
      <c r="H393">
        <v>0</v>
      </c>
      <c r="I393" t="s">
        <v>19</v>
      </c>
      <c r="J393">
        <v>0</v>
      </c>
      <c r="K393" t="s">
        <v>19</v>
      </c>
      <c r="L393">
        <v>0</v>
      </c>
      <c r="M393" t="s">
        <v>19</v>
      </c>
      <c r="N393">
        <v>0</v>
      </c>
      <c r="O393" t="s">
        <v>19</v>
      </c>
    </row>
    <row r="394" spans="1:15" x14ac:dyDescent="0.25">
      <c r="A394" t="s">
        <v>11</v>
      </c>
      <c r="B394" t="s">
        <v>248</v>
      </c>
      <c r="C394" t="s">
        <v>28</v>
      </c>
      <c r="D394" t="s">
        <v>14</v>
      </c>
      <c r="E394" t="s">
        <v>15</v>
      </c>
      <c r="F394">
        <v>10415.94</v>
      </c>
      <c r="H394">
        <v>0</v>
      </c>
      <c r="I394" t="s">
        <v>19</v>
      </c>
      <c r="J394">
        <v>0</v>
      </c>
      <c r="K394" t="s">
        <v>19</v>
      </c>
      <c r="L394">
        <v>0</v>
      </c>
      <c r="M394" t="s">
        <v>19</v>
      </c>
      <c r="N394">
        <v>0</v>
      </c>
      <c r="O394" t="s">
        <v>19</v>
      </c>
    </row>
    <row r="395" spans="1:15" x14ac:dyDescent="0.25">
      <c r="A395" t="s">
        <v>11</v>
      </c>
      <c r="B395" t="s">
        <v>249</v>
      </c>
      <c r="C395" t="s">
        <v>25</v>
      </c>
      <c r="D395" t="s">
        <v>14</v>
      </c>
      <c r="E395" t="s">
        <v>15</v>
      </c>
      <c r="F395">
        <v>0</v>
      </c>
      <c r="G395" t="s">
        <v>19</v>
      </c>
      <c r="H395">
        <v>7539.65</v>
      </c>
      <c r="J395">
        <v>10251.07</v>
      </c>
      <c r="L395">
        <v>6695.87</v>
      </c>
      <c r="N395">
        <v>5683.54</v>
      </c>
    </row>
    <row r="396" spans="1:15" x14ac:dyDescent="0.25">
      <c r="A396" t="s">
        <v>11</v>
      </c>
      <c r="B396" t="s">
        <v>249</v>
      </c>
      <c r="C396" t="s">
        <v>28</v>
      </c>
      <c r="D396" t="s">
        <v>14</v>
      </c>
      <c r="E396" t="s">
        <v>15</v>
      </c>
      <c r="F396">
        <v>0</v>
      </c>
      <c r="G396" t="s">
        <v>19</v>
      </c>
      <c r="H396">
        <v>17108.14</v>
      </c>
      <c r="J396">
        <v>45241.46</v>
      </c>
      <c r="L396">
        <v>42117.25</v>
      </c>
      <c r="N396">
        <v>34791.81</v>
      </c>
    </row>
    <row r="397" spans="1:15" x14ac:dyDescent="0.25">
      <c r="A397" t="s">
        <v>11</v>
      </c>
      <c r="B397" t="s">
        <v>250</v>
      </c>
      <c r="C397" t="s">
        <v>25</v>
      </c>
      <c r="D397" t="s">
        <v>14</v>
      </c>
      <c r="E397" t="s">
        <v>15</v>
      </c>
      <c r="F397">
        <v>24850.2</v>
      </c>
      <c r="H397">
        <v>16771.88</v>
      </c>
      <c r="J397">
        <v>8611.26</v>
      </c>
      <c r="L397">
        <v>8145.34</v>
      </c>
      <c r="N397">
        <v>7276.41</v>
      </c>
    </row>
    <row r="398" spans="1:15" x14ac:dyDescent="0.25">
      <c r="A398" t="s">
        <v>11</v>
      </c>
      <c r="B398" t="s">
        <v>250</v>
      </c>
      <c r="C398" t="s">
        <v>28</v>
      </c>
      <c r="D398" t="s">
        <v>14</v>
      </c>
      <c r="E398" t="s">
        <v>15</v>
      </c>
      <c r="F398">
        <v>65936.81</v>
      </c>
      <c r="H398">
        <v>60989.2</v>
      </c>
      <c r="J398">
        <v>35231.42</v>
      </c>
      <c r="L398">
        <v>49167.18</v>
      </c>
      <c r="N398">
        <v>56058.28</v>
      </c>
    </row>
    <row r="399" spans="1:15" x14ac:dyDescent="0.25">
      <c r="A399" t="s">
        <v>11</v>
      </c>
      <c r="B399" t="s">
        <v>251</v>
      </c>
      <c r="C399" t="s">
        <v>25</v>
      </c>
      <c r="D399" t="s">
        <v>14</v>
      </c>
      <c r="E399" t="s">
        <v>15</v>
      </c>
      <c r="F399">
        <v>0</v>
      </c>
      <c r="G399" t="s">
        <v>19</v>
      </c>
      <c r="H399">
        <v>66.06</v>
      </c>
      <c r="J399">
        <v>35.57</v>
      </c>
      <c r="L399">
        <v>233.23</v>
      </c>
      <c r="N399">
        <v>79.45</v>
      </c>
    </row>
    <row r="400" spans="1:15" x14ac:dyDescent="0.25">
      <c r="A400" t="s">
        <v>11</v>
      </c>
      <c r="B400" t="s">
        <v>251</v>
      </c>
      <c r="C400" t="s">
        <v>28</v>
      </c>
      <c r="D400" t="s">
        <v>14</v>
      </c>
      <c r="E400" t="s">
        <v>15</v>
      </c>
      <c r="F400">
        <v>0</v>
      </c>
      <c r="G400" t="s">
        <v>19</v>
      </c>
      <c r="H400">
        <v>348.83</v>
      </c>
      <c r="J400">
        <v>467</v>
      </c>
      <c r="L400">
        <v>512.35</v>
      </c>
      <c r="N400">
        <v>893.24</v>
      </c>
    </row>
    <row r="401" spans="1:14" x14ac:dyDescent="0.25">
      <c r="A401" t="s">
        <v>11</v>
      </c>
      <c r="B401" t="s">
        <v>252</v>
      </c>
      <c r="C401" t="s">
        <v>13</v>
      </c>
      <c r="D401" t="s">
        <v>14</v>
      </c>
      <c r="E401" t="s">
        <v>15</v>
      </c>
      <c r="F401">
        <v>32294.21</v>
      </c>
      <c r="H401">
        <v>22890.43</v>
      </c>
      <c r="J401">
        <v>21217.45</v>
      </c>
      <c r="L401">
        <v>15492.75</v>
      </c>
      <c r="N401">
        <v>12698.15</v>
      </c>
    </row>
    <row r="402" spans="1:14" x14ac:dyDescent="0.25">
      <c r="A402" t="s">
        <v>11</v>
      </c>
      <c r="B402" t="s">
        <v>253</v>
      </c>
      <c r="C402" t="s">
        <v>25</v>
      </c>
      <c r="D402" t="s">
        <v>14</v>
      </c>
      <c r="E402" t="s">
        <v>15</v>
      </c>
      <c r="F402">
        <v>3330.6</v>
      </c>
      <c r="H402">
        <v>3882.61</v>
      </c>
      <c r="J402">
        <v>5677.79</v>
      </c>
      <c r="L402">
        <v>4530.7700000000004</v>
      </c>
      <c r="N402">
        <v>4670.3</v>
      </c>
    </row>
    <row r="403" spans="1:14" x14ac:dyDescent="0.25">
      <c r="A403" t="s">
        <v>11</v>
      </c>
      <c r="B403" t="s">
        <v>253</v>
      </c>
      <c r="C403" t="s">
        <v>28</v>
      </c>
      <c r="D403" t="s">
        <v>14</v>
      </c>
      <c r="E403" t="s">
        <v>15</v>
      </c>
      <c r="F403">
        <v>364.16</v>
      </c>
      <c r="H403">
        <v>1410.03</v>
      </c>
      <c r="J403">
        <v>472.33</v>
      </c>
      <c r="L403">
        <v>1102.1600000000001</v>
      </c>
      <c r="N403">
        <v>466</v>
      </c>
    </row>
    <row r="404" spans="1:14" x14ac:dyDescent="0.25">
      <c r="A404" t="s">
        <v>11</v>
      </c>
      <c r="B404" t="s">
        <v>254</v>
      </c>
      <c r="C404" t="s">
        <v>25</v>
      </c>
      <c r="D404" t="s">
        <v>14</v>
      </c>
      <c r="E404" t="s">
        <v>15</v>
      </c>
      <c r="F404">
        <v>0</v>
      </c>
      <c r="G404" t="s">
        <v>19</v>
      </c>
      <c r="H404">
        <v>5881.29</v>
      </c>
      <c r="J404">
        <v>5017.01</v>
      </c>
      <c r="L404">
        <v>4433.5200000000004</v>
      </c>
      <c r="N404">
        <v>4618.78</v>
      </c>
    </row>
    <row r="405" spans="1:14" x14ac:dyDescent="0.25">
      <c r="A405" t="s">
        <v>11</v>
      </c>
      <c r="B405" t="s">
        <v>254</v>
      </c>
      <c r="C405" t="s">
        <v>28</v>
      </c>
      <c r="D405" t="s">
        <v>14</v>
      </c>
      <c r="E405" t="s">
        <v>15</v>
      </c>
      <c r="F405">
        <v>0</v>
      </c>
      <c r="G405" t="s">
        <v>19</v>
      </c>
      <c r="H405">
        <v>8256.1299999999992</v>
      </c>
      <c r="J405">
        <v>7341.81</v>
      </c>
      <c r="L405">
        <v>7124.95</v>
      </c>
      <c r="N405">
        <v>11121.83</v>
      </c>
    </row>
    <row r="406" spans="1:14" x14ac:dyDescent="0.25">
      <c r="A406" t="s">
        <v>11</v>
      </c>
      <c r="B406" t="s">
        <v>255</v>
      </c>
      <c r="C406" t="s">
        <v>13</v>
      </c>
      <c r="D406" t="s">
        <v>14</v>
      </c>
      <c r="E406" t="s">
        <v>15</v>
      </c>
      <c r="F406">
        <v>0</v>
      </c>
      <c r="G406" t="s">
        <v>19</v>
      </c>
      <c r="H406">
        <v>9722.27</v>
      </c>
      <c r="J406">
        <v>1978.54</v>
      </c>
      <c r="L406">
        <v>6004.88</v>
      </c>
      <c r="N406">
        <v>9222.09</v>
      </c>
    </row>
    <row r="407" spans="1:14" x14ac:dyDescent="0.25">
      <c r="A407" t="s">
        <v>11</v>
      </c>
      <c r="B407" t="s">
        <v>256</v>
      </c>
      <c r="C407" t="s">
        <v>25</v>
      </c>
      <c r="D407" t="s">
        <v>14</v>
      </c>
      <c r="E407" t="s">
        <v>15</v>
      </c>
      <c r="F407">
        <v>789.38</v>
      </c>
      <c r="H407">
        <v>344.56</v>
      </c>
      <c r="J407">
        <v>136.41999999999999</v>
      </c>
      <c r="L407">
        <v>120.35</v>
      </c>
      <c r="N407">
        <v>55.55</v>
      </c>
    </row>
    <row r="408" spans="1:14" x14ac:dyDescent="0.25">
      <c r="A408" t="s">
        <v>11</v>
      </c>
      <c r="B408" t="s">
        <v>256</v>
      </c>
      <c r="C408" t="s">
        <v>28</v>
      </c>
      <c r="D408" t="s">
        <v>14</v>
      </c>
      <c r="E408" t="s">
        <v>15</v>
      </c>
      <c r="F408">
        <v>378.18</v>
      </c>
      <c r="H408">
        <v>510.87</v>
      </c>
      <c r="J408">
        <v>6.19</v>
      </c>
      <c r="L408">
        <v>158.76</v>
      </c>
      <c r="N408">
        <v>2.16</v>
      </c>
    </row>
    <row r="409" spans="1:14" x14ac:dyDescent="0.25">
      <c r="A409" t="s">
        <v>11</v>
      </c>
      <c r="B409" t="s">
        <v>257</v>
      </c>
      <c r="C409" t="s">
        <v>25</v>
      </c>
      <c r="D409" t="s">
        <v>14</v>
      </c>
      <c r="E409" t="s">
        <v>15</v>
      </c>
      <c r="F409">
        <v>0</v>
      </c>
      <c r="G409" t="s">
        <v>19</v>
      </c>
      <c r="H409">
        <v>5222.93</v>
      </c>
      <c r="J409">
        <v>7815.04</v>
      </c>
      <c r="L409">
        <v>11309.8</v>
      </c>
      <c r="N409">
        <v>10322.35</v>
      </c>
    </row>
    <row r="410" spans="1:14" x14ac:dyDescent="0.25">
      <c r="A410" t="s">
        <v>11</v>
      </c>
      <c r="B410" t="s">
        <v>257</v>
      </c>
      <c r="C410" t="s">
        <v>28</v>
      </c>
      <c r="D410" t="s">
        <v>14</v>
      </c>
      <c r="E410" t="s">
        <v>15</v>
      </c>
      <c r="F410">
        <v>0</v>
      </c>
      <c r="G410" t="s">
        <v>19</v>
      </c>
      <c r="H410">
        <v>691.21</v>
      </c>
      <c r="J410">
        <v>786.06</v>
      </c>
      <c r="L410">
        <v>638.45000000000005</v>
      </c>
      <c r="N410">
        <v>750.06</v>
      </c>
    </row>
    <row r="411" spans="1:14" x14ac:dyDescent="0.25">
      <c r="A411" t="s">
        <v>11</v>
      </c>
      <c r="B411" t="s">
        <v>258</v>
      </c>
      <c r="C411" t="s">
        <v>25</v>
      </c>
      <c r="D411" t="s">
        <v>14</v>
      </c>
      <c r="E411" t="s">
        <v>15</v>
      </c>
      <c r="F411">
        <v>0</v>
      </c>
      <c r="G411" t="s">
        <v>19</v>
      </c>
      <c r="H411">
        <v>11169.68</v>
      </c>
      <c r="J411">
        <v>12104.92</v>
      </c>
      <c r="L411">
        <v>12603.69</v>
      </c>
      <c r="N411">
        <v>9422.14</v>
      </c>
    </row>
    <row r="412" spans="1:14" x14ac:dyDescent="0.25">
      <c r="A412" t="s">
        <v>11</v>
      </c>
      <c r="B412" t="s">
        <v>258</v>
      </c>
      <c r="C412" t="s">
        <v>28</v>
      </c>
      <c r="D412" t="s">
        <v>14</v>
      </c>
      <c r="E412" t="s">
        <v>15</v>
      </c>
      <c r="F412">
        <v>0</v>
      </c>
      <c r="G412" t="s">
        <v>19</v>
      </c>
      <c r="H412">
        <v>13368.42</v>
      </c>
      <c r="J412">
        <v>14141.31</v>
      </c>
      <c r="L412">
        <v>13787.33</v>
      </c>
      <c r="N412">
        <v>12577.11</v>
      </c>
    </row>
    <row r="413" spans="1:14" x14ac:dyDescent="0.25">
      <c r="A413" t="s">
        <v>11</v>
      </c>
      <c r="B413" t="s">
        <v>259</v>
      </c>
      <c r="C413" t="s">
        <v>13</v>
      </c>
      <c r="D413" t="s">
        <v>14</v>
      </c>
      <c r="E413" t="s">
        <v>15</v>
      </c>
      <c r="F413">
        <v>18115.330000000002</v>
      </c>
      <c r="H413">
        <v>23112.33</v>
      </c>
      <c r="J413">
        <v>14975.99</v>
      </c>
      <c r="L413">
        <v>15403.58</v>
      </c>
      <c r="N413">
        <v>13376.01</v>
      </c>
    </row>
    <row r="414" spans="1:14" x14ac:dyDescent="0.25">
      <c r="A414" t="s">
        <v>11</v>
      </c>
      <c r="B414" t="s">
        <v>260</v>
      </c>
      <c r="C414" t="s">
        <v>25</v>
      </c>
      <c r="D414" t="s">
        <v>14</v>
      </c>
      <c r="E414" t="s">
        <v>15</v>
      </c>
      <c r="F414">
        <v>0</v>
      </c>
      <c r="G414" t="s">
        <v>19</v>
      </c>
      <c r="H414">
        <v>4625.87</v>
      </c>
      <c r="J414">
        <v>3261.73</v>
      </c>
      <c r="L414">
        <v>2327.69</v>
      </c>
      <c r="N414">
        <v>2354.46</v>
      </c>
    </row>
    <row r="415" spans="1:14" x14ac:dyDescent="0.25">
      <c r="A415" t="s">
        <v>11</v>
      </c>
      <c r="B415" t="s">
        <v>260</v>
      </c>
      <c r="C415" t="s">
        <v>28</v>
      </c>
      <c r="D415" t="s">
        <v>14</v>
      </c>
      <c r="E415" t="s">
        <v>15</v>
      </c>
      <c r="F415">
        <v>0</v>
      </c>
      <c r="G415" t="s">
        <v>19</v>
      </c>
      <c r="H415">
        <v>9512.6299999999992</v>
      </c>
      <c r="J415">
        <v>10113.620000000001</v>
      </c>
      <c r="L415">
        <v>13511.15</v>
      </c>
      <c r="N415">
        <v>14284.48</v>
      </c>
    </row>
    <row r="416" spans="1:14" x14ac:dyDescent="0.25">
      <c r="A416" t="s">
        <v>11</v>
      </c>
      <c r="B416" t="s">
        <v>261</v>
      </c>
      <c r="C416" t="s">
        <v>25</v>
      </c>
      <c r="D416" t="s">
        <v>14</v>
      </c>
      <c r="E416" t="s">
        <v>15</v>
      </c>
      <c r="F416">
        <v>0</v>
      </c>
      <c r="G416" t="s">
        <v>19</v>
      </c>
      <c r="H416">
        <v>2080.4699999999998</v>
      </c>
      <c r="J416">
        <v>1181.97</v>
      </c>
      <c r="L416">
        <v>1070.48</v>
      </c>
      <c r="N416">
        <v>1032.69</v>
      </c>
    </row>
    <row r="417" spans="1:15" x14ac:dyDescent="0.25">
      <c r="A417" t="s">
        <v>11</v>
      </c>
      <c r="B417" t="s">
        <v>261</v>
      </c>
      <c r="C417" t="s">
        <v>28</v>
      </c>
      <c r="D417" t="s">
        <v>14</v>
      </c>
      <c r="E417" t="s">
        <v>15</v>
      </c>
      <c r="F417">
        <v>0</v>
      </c>
      <c r="G417" t="s">
        <v>19</v>
      </c>
      <c r="H417">
        <v>8371.98</v>
      </c>
      <c r="J417">
        <v>7190.76</v>
      </c>
      <c r="L417">
        <v>9012.25</v>
      </c>
      <c r="N417">
        <v>8568.2999999999993</v>
      </c>
    </row>
    <row r="418" spans="1:15" x14ac:dyDescent="0.25">
      <c r="A418" t="s">
        <v>11</v>
      </c>
      <c r="B418" t="s">
        <v>262</v>
      </c>
      <c r="C418" t="s">
        <v>25</v>
      </c>
      <c r="D418" t="s">
        <v>14</v>
      </c>
      <c r="E418" t="s">
        <v>15</v>
      </c>
      <c r="F418">
        <v>1436.71</v>
      </c>
      <c r="H418">
        <v>3532.94</v>
      </c>
      <c r="J418">
        <v>3070.34</v>
      </c>
      <c r="L418">
        <v>2997.79</v>
      </c>
      <c r="N418">
        <v>3114.84</v>
      </c>
    </row>
    <row r="419" spans="1:15" x14ac:dyDescent="0.25">
      <c r="A419" t="s">
        <v>11</v>
      </c>
      <c r="B419" t="s">
        <v>262</v>
      </c>
      <c r="C419" t="s">
        <v>28</v>
      </c>
      <c r="D419" t="s">
        <v>14</v>
      </c>
      <c r="E419" t="s">
        <v>15</v>
      </c>
      <c r="F419">
        <v>5496.64</v>
      </c>
      <c r="H419">
        <v>1186.3800000000001</v>
      </c>
      <c r="J419">
        <v>5696.42</v>
      </c>
      <c r="L419">
        <v>3570.66</v>
      </c>
      <c r="N419">
        <v>2841.45</v>
      </c>
    </row>
    <row r="420" spans="1:15" x14ac:dyDescent="0.25">
      <c r="A420" t="s">
        <v>11</v>
      </c>
      <c r="B420" t="s">
        <v>263</v>
      </c>
      <c r="C420" t="s">
        <v>25</v>
      </c>
      <c r="D420" t="s">
        <v>14</v>
      </c>
      <c r="E420" t="s">
        <v>15</v>
      </c>
      <c r="F420">
        <v>0</v>
      </c>
      <c r="G420" t="s">
        <v>19</v>
      </c>
      <c r="H420">
        <v>0</v>
      </c>
      <c r="I420" t="s">
        <v>19</v>
      </c>
      <c r="J420">
        <v>0</v>
      </c>
      <c r="K420" t="s">
        <v>19</v>
      </c>
      <c r="L420">
        <v>0</v>
      </c>
      <c r="M420" t="s">
        <v>19</v>
      </c>
      <c r="N420">
        <v>0</v>
      </c>
      <c r="O420" t="s">
        <v>19</v>
      </c>
    </row>
    <row r="421" spans="1:15" x14ac:dyDescent="0.25">
      <c r="A421" t="s">
        <v>11</v>
      </c>
      <c r="B421" t="s">
        <v>263</v>
      </c>
      <c r="C421" t="s">
        <v>28</v>
      </c>
      <c r="D421" t="s">
        <v>14</v>
      </c>
      <c r="E421" t="s">
        <v>15</v>
      </c>
      <c r="F421">
        <v>0</v>
      </c>
      <c r="G421" t="s">
        <v>19</v>
      </c>
      <c r="H421">
        <v>0</v>
      </c>
      <c r="I421" t="s">
        <v>19</v>
      </c>
      <c r="J421">
        <v>0</v>
      </c>
      <c r="K421" t="s">
        <v>19</v>
      </c>
      <c r="L421">
        <v>0</v>
      </c>
      <c r="M421" t="s">
        <v>19</v>
      </c>
      <c r="N421">
        <v>0</v>
      </c>
      <c r="O421" t="s">
        <v>19</v>
      </c>
    </row>
    <row r="422" spans="1:15" x14ac:dyDescent="0.25">
      <c r="A422" t="s">
        <v>11</v>
      </c>
      <c r="B422" t="s">
        <v>264</v>
      </c>
      <c r="C422" t="s">
        <v>25</v>
      </c>
      <c r="D422" t="s">
        <v>14</v>
      </c>
      <c r="E422" t="s">
        <v>15</v>
      </c>
      <c r="F422">
        <v>150.76</v>
      </c>
      <c r="H422">
        <v>0</v>
      </c>
      <c r="J422">
        <v>7.29</v>
      </c>
      <c r="L422">
        <v>0</v>
      </c>
      <c r="N422">
        <v>2</v>
      </c>
    </row>
    <row r="423" spans="1:15" x14ac:dyDescent="0.25">
      <c r="A423" t="s">
        <v>11</v>
      </c>
      <c r="B423" t="s">
        <v>264</v>
      </c>
      <c r="C423" t="s">
        <v>28</v>
      </c>
      <c r="D423" t="s">
        <v>14</v>
      </c>
      <c r="E423" t="s">
        <v>15</v>
      </c>
      <c r="F423">
        <v>0</v>
      </c>
      <c r="G423" t="s">
        <v>19</v>
      </c>
      <c r="H423">
        <v>37.57</v>
      </c>
      <c r="J423">
        <v>185.47</v>
      </c>
      <c r="L423">
        <v>153.49</v>
      </c>
      <c r="N423">
        <v>115.51</v>
      </c>
    </row>
    <row r="424" spans="1:15" x14ac:dyDescent="0.25">
      <c r="A424" t="s">
        <v>11</v>
      </c>
      <c r="B424" t="s">
        <v>265</v>
      </c>
      <c r="C424" t="s">
        <v>25</v>
      </c>
      <c r="D424" t="s">
        <v>14</v>
      </c>
      <c r="E424" t="s">
        <v>15</v>
      </c>
      <c r="F424">
        <v>0</v>
      </c>
      <c r="G424" t="s">
        <v>19</v>
      </c>
      <c r="H424">
        <v>474.8</v>
      </c>
      <c r="J424">
        <v>0</v>
      </c>
      <c r="K424" t="s">
        <v>19</v>
      </c>
      <c r="L424">
        <v>0</v>
      </c>
      <c r="M424" t="s">
        <v>19</v>
      </c>
      <c r="N424">
        <v>0</v>
      </c>
      <c r="O424" t="s">
        <v>19</v>
      </c>
    </row>
    <row r="425" spans="1:15" x14ac:dyDescent="0.25">
      <c r="A425" t="s">
        <v>11</v>
      </c>
      <c r="B425" t="s">
        <v>265</v>
      </c>
      <c r="C425" t="s">
        <v>28</v>
      </c>
      <c r="D425" t="s">
        <v>14</v>
      </c>
      <c r="E425" t="s">
        <v>15</v>
      </c>
      <c r="F425">
        <v>0</v>
      </c>
      <c r="G425" t="s">
        <v>19</v>
      </c>
      <c r="H425">
        <v>0</v>
      </c>
      <c r="I425" t="s">
        <v>19</v>
      </c>
      <c r="J425">
        <v>0</v>
      </c>
      <c r="K425" t="s">
        <v>19</v>
      </c>
      <c r="L425">
        <v>874.68</v>
      </c>
      <c r="N425">
        <v>822.63</v>
      </c>
    </row>
    <row r="426" spans="1:15" x14ac:dyDescent="0.25">
      <c r="A426" t="s">
        <v>11</v>
      </c>
      <c r="B426" t="s">
        <v>266</v>
      </c>
      <c r="C426" t="s">
        <v>25</v>
      </c>
      <c r="D426" t="s">
        <v>14</v>
      </c>
      <c r="E426" t="s">
        <v>15</v>
      </c>
      <c r="F426">
        <v>0</v>
      </c>
      <c r="G426" t="s">
        <v>19</v>
      </c>
      <c r="H426">
        <v>0</v>
      </c>
      <c r="I426" t="s">
        <v>19</v>
      </c>
      <c r="J426">
        <v>0</v>
      </c>
      <c r="K426" t="s">
        <v>19</v>
      </c>
      <c r="L426">
        <v>0</v>
      </c>
      <c r="M426" t="s">
        <v>19</v>
      </c>
      <c r="N426">
        <v>0</v>
      </c>
      <c r="O426" t="s">
        <v>19</v>
      </c>
    </row>
    <row r="427" spans="1:15" x14ac:dyDescent="0.25">
      <c r="A427" t="s">
        <v>11</v>
      </c>
      <c r="B427" t="s">
        <v>266</v>
      </c>
      <c r="C427" t="s">
        <v>28</v>
      </c>
      <c r="D427" t="s">
        <v>14</v>
      </c>
      <c r="E427" t="s">
        <v>15</v>
      </c>
      <c r="F427">
        <v>0</v>
      </c>
      <c r="G427" t="s">
        <v>19</v>
      </c>
      <c r="H427">
        <v>0</v>
      </c>
      <c r="I427" t="s">
        <v>19</v>
      </c>
      <c r="J427">
        <v>0</v>
      </c>
      <c r="K427" t="s">
        <v>19</v>
      </c>
      <c r="L427">
        <v>0</v>
      </c>
      <c r="M427" t="s">
        <v>19</v>
      </c>
      <c r="N427">
        <v>0</v>
      </c>
      <c r="O427" t="s">
        <v>19</v>
      </c>
    </row>
    <row r="428" spans="1:15" x14ac:dyDescent="0.25">
      <c r="A428" t="s">
        <v>11</v>
      </c>
      <c r="B428" t="s">
        <v>267</v>
      </c>
      <c r="C428" t="s">
        <v>25</v>
      </c>
      <c r="D428" t="s">
        <v>14</v>
      </c>
      <c r="E428" t="s">
        <v>15</v>
      </c>
      <c r="F428">
        <v>2512.46</v>
      </c>
      <c r="H428">
        <v>3002.07</v>
      </c>
      <c r="J428">
        <v>3580.41</v>
      </c>
      <c r="L428">
        <v>5153.99</v>
      </c>
      <c r="N428">
        <v>5466.38</v>
      </c>
    </row>
    <row r="429" spans="1:15" x14ac:dyDescent="0.25">
      <c r="A429" t="s">
        <v>11</v>
      </c>
      <c r="B429" t="s">
        <v>267</v>
      </c>
      <c r="C429" t="s">
        <v>28</v>
      </c>
      <c r="D429" t="s">
        <v>14</v>
      </c>
      <c r="E429" t="s">
        <v>15</v>
      </c>
      <c r="F429">
        <v>9034.51</v>
      </c>
      <c r="H429">
        <v>12967.14</v>
      </c>
      <c r="J429">
        <v>11099.26</v>
      </c>
      <c r="L429">
        <v>12797.28</v>
      </c>
      <c r="N429">
        <v>39622.81</v>
      </c>
    </row>
    <row r="430" spans="1:15" x14ac:dyDescent="0.25">
      <c r="A430" t="s">
        <v>11</v>
      </c>
      <c r="B430" t="s">
        <v>268</v>
      </c>
      <c r="C430" t="s">
        <v>25</v>
      </c>
      <c r="D430" t="s">
        <v>14</v>
      </c>
      <c r="E430" t="s">
        <v>15</v>
      </c>
      <c r="F430">
        <v>0</v>
      </c>
      <c r="G430" t="s">
        <v>19</v>
      </c>
      <c r="H430">
        <v>225.67</v>
      </c>
      <c r="J430">
        <v>56.89</v>
      </c>
      <c r="L430">
        <v>131.94</v>
      </c>
      <c r="N430">
        <v>143.35</v>
      </c>
    </row>
    <row r="431" spans="1:15" x14ac:dyDescent="0.25">
      <c r="A431" t="s">
        <v>11</v>
      </c>
      <c r="B431" t="s">
        <v>268</v>
      </c>
      <c r="C431" t="s">
        <v>28</v>
      </c>
      <c r="D431" t="s">
        <v>14</v>
      </c>
      <c r="E431" t="s">
        <v>15</v>
      </c>
      <c r="F431">
        <v>0</v>
      </c>
      <c r="G431" t="s">
        <v>19</v>
      </c>
      <c r="H431">
        <v>2208.0300000000002</v>
      </c>
      <c r="J431">
        <v>6574.6</v>
      </c>
      <c r="L431">
        <v>2817.57</v>
      </c>
      <c r="N431">
        <v>3019.91</v>
      </c>
    </row>
    <row r="432" spans="1:15" x14ac:dyDescent="0.25">
      <c r="A432" t="s">
        <v>11</v>
      </c>
      <c r="B432" t="s">
        <v>269</v>
      </c>
      <c r="C432" t="s">
        <v>25</v>
      </c>
      <c r="D432" t="s">
        <v>14</v>
      </c>
      <c r="E432" t="s">
        <v>15</v>
      </c>
      <c r="F432">
        <v>22636.46</v>
      </c>
      <c r="H432">
        <v>35553.22</v>
      </c>
      <c r="J432">
        <v>31154.66</v>
      </c>
      <c r="L432">
        <v>39116.769999999997</v>
      </c>
      <c r="N432">
        <v>48025.16</v>
      </c>
    </row>
    <row r="433" spans="1:15" x14ac:dyDescent="0.25">
      <c r="A433" t="s">
        <v>11</v>
      </c>
      <c r="B433" t="s">
        <v>269</v>
      </c>
      <c r="C433" t="s">
        <v>28</v>
      </c>
      <c r="D433" t="s">
        <v>14</v>
      </c>
      <c r="E433" t="s">
        <v>15</v>
      </c>
      <c r="F433">
        <v>215460</v>
      </c>
      <c r="H433">
        <v>219178</v>
      </c>
      <c r="J433">
        <v>233452</v>
      </c>
      <c r="L433">
        <v>252049</v>
      </c>
      <c r="N433">
        <v>221818</v>
      </c>
    </row>
    <row r="434" spans="1:15" x14ac:dyDescent="0.25">
      <c r="A434" t="s">
        <v>11</v>
      </c>
      <c r="B434" t="s">
        <v>270</v>
      </c>
      <c r="C434" t="s">
        <v>25</v>
      </c>
      <c r="D434" t="s">
        <v>14</v>
      </c>
      <c r="E434" t="s">
        <v>15</v>
      </c>
      <c r="F434">
        <v>32774.120000000003</v>
      </c>
      <c r="H434">
        <v>39644.04</v>
      </c>
      <c r="J434">
        <v>28775.48</v>
      </c>
      <c r="L434">
        <v>31680.720000000001</v>
      </c>
      <c r="N434">
        <v>33103.71</v>
      </c>
    </row>
    <row r="435" spans="1:15" x14ac:dyDescent="0.25">
      <c r="A435" t="s">
        <v>11</v>
      </c>
      <c r="B435" t="s">
        <v>270</v>
      </c>
      <c r="C435" t="s">
        <v>28</v>
      </c>
      <c r="D435" t="s">
        <v>14</v>
      </c>
      <c r="E435" t="s">
        <v>15</v>
      </c>
      <c r="F435">
        <v>47621.94</v>
      </c>
      <c r="H435">
        <v>98913.01</v>
      </c>
      <c r="J435">
        <v>91662.3</v>
      </c>
      <c r="L435">
        <v>103775.73</v>
      </c>
      <c r="N435">
        <v>105595.19</v>
      </c>
    </row>
    <row r="436" spans="1:15" x14ac:dyDescent="0.25">
      <c r="A436" t="s">
        <v>11</v>
      </c>
      <c r="B436" t="s">
        <v>271</v>
      </c>
      <c r="C436" t="s">
        <v>25</v>
      </c>
      <c r="D436" t="s">
        <v>14</v>
      </c>
      <c r="E436" t="s">
        <v>15</v>
      </c>
      <c r="F436">
        <v>0</v>
      </c>
      <c r="G436" t="s">
        <v>19</v>
      </c>
      <c r="H436">
        <v>106.86</v>
      </c>
      <c r="J436">
        <v>135.47999999999999</v>
      </c>
      <c r="L436">
        <v>260.77999999999997</v>
      </c>
      <c r="N436">
        <v>225.87</v>
      </c>
    </row>
    <row r="437" spans="1:15" x14ac:dyDescent="0.25">
      <c r="A437" t="s">
        <v>11</v>
      </c>
      <c r="B437" t="s">
        <v>271</v>
      </c>
      <c r="C437" t="s">
        <v>28</v>
      </c>
      <c r="D437" t="s">
        <v>14</v>
      </c>
      <c r="E437" t="s">
        <v>15</v>
      </c>
      <c r="F437">
        <v>0</v>
      </c>
      <c r="G437" t="s">
        <v>19</v>
      </c>
      <c r="H437">
        <v>0</v>
      </c>
      <c r="I437" t="s">
        <v>19</v>
      </c>
      <c r="J437">
        <v>180.37</v>
      </c>
      <c r="L437">
        <v>67.11</v>
      </c>
      <c r="N437">
        <v>0</v>
      </c>
      <c r="O437" t="s">
        <v>19</v>
      </c>
    </row>
    <row r="438" spans="1:15" hidden="1" x14ac:dyDescent="0.25">
      <c r="A438" t="s">
        <v>272</v>
      </c>
      <c r="F438">
        <v>7361120.9199999999</v>
      </c>
      <c r="H438">
        <v>7335060.4699999997</v>
      </c>
      <c r="J438">
        <v>6989080.1600000001</v>
      </c>
      <c r="L438">
        <v>7224500.5899999999</v>
      </c>
      <c r="N438">
        <v>7398555.4100000001</v>
      </c>
    </row>
    <row r="439" spans="1:15" hidden="1" x14ac:dyDescent="0.25">
      <c r="A439" t="s">
        <v>273</v>
      </c>
      <c r="F439">
        <v>7722</v>
      </c>
      <c r="H439">
        <v>6739</v>
      </c>
      <c r="J439">
        <v>2721</v>
      </c>
      <c r="L439">
        <v>3501</v>
      </c>
      <c r="N439">
        <v>2705</v>
      </c>
    </row>
    <row r="440" spans="1:15" x14ac:dyDescent="0.25">
      <c r="A440" t="s">
        <v>274</v>
      </c>
    </row>
  </sheetData>
  <sheetProtection algorithmName="SHA-512" hashValue="/BRE9niUVofKQg3o6CUKp9bslFa03R+AD067PJbvCknIAzgcQy4zs4B9RXrTkUvj1u2/qEmROMh5JuSZTgebUw==" saltValue="07mXbLdkN2iy6/gv3mM9I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7200-89B1-4724-810B-B0B6582253BF}">
  <dimension ref="A1:E21"/>
  <sheetViews>
    <sheetView workbookViewId="0">
      <selection activeCell="B21" sqref="B21"/>
    </sheetView>
  </sheetViews>
  <sheetFormatPr defaultRowHeight="15" x14ac:dyDescent="0.25"/>
  <cols>
    <col min="1" max="1" width="30.7109375" bestFit="1" customWidth="1"/>
    <col min="2" max="2" width="19.28515625" customWidth="1"/>
    <col min="3" max="3" width="15" customWidth="1"/>
    <col min="4" max="4" width="15.28515625" customWidth="1"/>
    <col min="5" max="5" width="12.85546875" bestFit="1" customWidth="1"/>
    <col min="6" max="6" width="13.28515625" bestFit="1" customWidth="1"/>
  </cols>
  <sheetData>
    <row r="1" spans="1:5" x14ac:dyDescent="0.25">
      <c r="A1" t="s">
        <v>305</v>
      </c>
      <c r="B1" t="s">
        <v>300</v>
      </c>
      <c r="C1" t="s">
        <v>304</v>
      </c>
      <c r="D1" t="s">
        <v>303</v>
      </c>
    </row>
    <row r="2" spans="1:5" x14ac:dyDescent="0.25">
      <c r="A2" t="s">
        <v>206</v>
      </c>
      <c r="B2" t="s">
        <v>309</v>
      </c>
      <c r="C2" t="str">
        <f>MID(B2,2,FIND("–",B2)-3)</f>
        <v>0.95</v>
      </c>
      <c r="D2" s="3" t="str">
        <f>MID(B2,FIND("–",B2)+3,LEN(B2)-FIND("–",B2)-1)</f>
        <v>1.60</v>
      </c>
      <c r="E2" s="4"/>
    </row>
    <row r="3" spans="1:5" x14ac:dyDescent="0.25">
      <c r="A3" t="s">
        <v>163</v>
      </c>
      <c r="B3" t="s">
        <v>310</v>
      </c>
      <c r="C3" t="str">
        <f t="shared" ref="C3:C20" si="0">MID(B3,2,FIND("–",B3)-3)</f>
        <v>0.50</v>
      </c>
      <c r="D3" s="3" t="str">
        <f t="shared" ref="D3:D20" si="1">MID(B3,FIND("–",B3)+3,LEN(B3)-FIND("–",B3)-1)</f>
        <v>1.10</v>
      </c>
    </row>
    <row r="4" spans="1:5" x14ac:dyDescent="0.25">
      <c r="A4" s="7" t="s">
        <v>223</v>
      </c>
      <c r="B4" t="s">
        <v>311</v>
      </c>
      <c r="C4" t="str">
        <f t="shared" si="0"/>
        <v>1.45</v>
      </c>
      <c r="D4" s="3" t="str">
        <f t="shared" si="1"/>
        <v>1.85</v>
      </c>
    </row>
    <row r="5" spans="1:5" x14ac:dyDescent="0.25">
      <c r="A5" s="7" t="s">
        <v>269</v>
      </c>
      <c r="B5" t="s">
        <v>302</v>
      </c>
      <c r="C5" t="str">
        <f t="shared" si="0"/>
        <v>2.10</v>
      </c>
      <c r="D5" s="3" t="str">
        <f t="shared" si="1"/>
        <v>14.50</v>
      </c>
    </row>
    <row r="6" spans="1:5" x14ac:dyDescent="0.25">
      <c r="A6" t="s">
        <v>140</v>
      </c>
      <c r="B6" t="s">
        <v>312</v>
      </c>
      <c r="C6" t="str">
        <f t="shared" si="0"/>
        <v>0.90</v>
      </c>
      <c r="D6" s="3" t="str">
        <f t="shared" si="1"/>
        <v>1.40</v>
      </c>
    </row>
    <row r="7" spans="1:5" x14ac:dyDescent="0.25">
      <c r="A7" s="7" t="s">
        <v>77</v>
      </c>
      <c r="B7" t="s">
        <v>313</v>
      </c>
      <c r="C7" t="str">
        <f t="shared" si="0"/>
        <v>3.20</v>
      </c>
      <c r="D7" s="3" t="str">
        <f t="shared" si="1"/>
        <v>5.80</v>
      </c>
    </row>
    <row r="8" spans="1:5" x14ac:dyDescent="0.25">
      <c r="A8" t="s">
        <v>173</v>
      </c>
      <c r="B8" t="s">
        <v>314</v>
      </c>
      <c r="C8" t="str">
        <f t="shared" si="0"/>
        <v>3.50</v>
      </c>
      <c r="D8" s="3" t="str">
        <f t="shared" si="1"/>
        <v>5.00</v>
      </c>
    </row>
    <row r="9" spans="1:5" x14ac:dyDescent="0.25">
      <c r="A9" t="s">
        <v>228</v>
      </c>
      <c r="B9" t="s">
        <v>315</v>
      </c>
      <c r="C9" t="str">
        <f t="shared" si="0"/>
        <v>5.50</v>
      </c>
      <c r="D9" s="3" t="str">
        <f t="shared" si="1"/>
        <v>9.00</v>
      </c>
    </row>
    <row r="10" spans="1:5" x14ac:dyDescent="0.25">
      <c r="A10" t="s">
        <v>156</v>
      </c>
      <c r="B10" t="s">
        <v>316</v>
      </c>
      <c r="C10" t="str">
        <f t="shared" si="0"/>
        <v>1.80</v>
      </c>
      <c r="D10" s="3" t="str">
        <f t="shared" si="1"/>
        <v>2.60</v>
      </c>
    </row>
    <row r="11" spans="1:5" x14ac:dyDescent="0.25">
      <c r="A11" s="7" t="s">
        <v>103</v>
      </c>
      <c r="B11" t="s">
        <v>317</v>
      </c>
      <c r="C11" t="str">
        <f t="shared" si="0"/>
        <v>1.10</v>
      </c>
      <c r="D11" s="3" t="str">
        <f t="shared" si="1"/>
        <v>1.60</v>
      </c>
    </row>
    <row r="12" spans="1:5" x14ac:dyDescent="0.25">
      <c r="A12" t="s">
        <v>62</v>
      </c>
      <c r="B12" t="s">
        <v>318</v>
      </c>
      <c r="C12" t="str">
        <f t="shared" si="0"/>
        <v>1.00</v>
      </c>
      <c r="D12" s="3" t="str">
        <f t="shared" si="1"/>
        <v>1.80</v>
      </c>
    </row>
    <row r="13" spans="1:5" x14ac:dyDescent="0.25">
      <c r="A13" t="s">
        <v>121</v>
      </c>
      <c r="B13" t="s">
        <v>319</v>
      </c>
      <c r="C13" t="str">
        <f t="shared" si="0"/>
        <v>6.00</v>
      </c>
      <c r="D13" s="3" t="str">
        <f t="shared" si="1"/>
        <v>11.50</v>
      </c>
    </row>
    <row r="14" spans="1:5" x14ac:dyDescent="0.25">
      <c r="A14" s="7" t="s">
        <v>114</v>
      </c>
      <c r="B14" t="s">
        <v>320</v>
      </c>
      <c r="C14" t="str">
        <f t="shared" si="0"/>
        <v>0.45</v>
      </c>
      <c r="D14" s="3" t="str">
        <f t="shared" si="1"/>
        <v>0.85</v>
      </c>
    </row>
    <row r="15" spans="1:5" x14ac:dyDescent="0.25">
      <c r="A15" t="s">
        <v>148</v>
      </c>
      <c r="B15" t="s">
        <v>321</v>
      </c>
      <c r="C15" t="str">
        <f t="shared" si="0"/>
        <v>1.20</v>
      </c>
      <c r="D15" s="3" t="str">
        <f t="shared" si="1"/>
        <v>1.75</v>
      </c>
    </row>
    <row r="16" spans="1:5" x14ac:dyDescent="0.25">
      <c r="A16" t="s">
        <v>270</v>
      </c>
      <c r="B16" t="s">
        <v>322</v>
      </c>
      <c r="C16" t="str">
        <f t="shared" si="0"/>
        <v>0.80</v>
      </c>
      <c r="D16" s="3" t="str">
        <f t="shared" si="1"/>
        <v>1.35</v>
      </c>
    </row>
    <row r="17" spans="1:4" x14ac:dyDescent="0.25">
      <c r="A17" t="s">
        <v>113</v>
      </c>
      <c r="B17" t="s">
        <v>323</v>
      </c>
      <c r="C17" t="str">
        <f t="shared" si="0"/>
        <v>1.50</v>
      </c>
      <c r="D17" s="3" t="str">
        <f t="shared" si="1"/>
        <v>3.20</v>
      </c>
    </row>
    <row r="18" spans="1:4" x14ac:dyDescent="0.25">
      <c r="A18" t="s">
        <v>31</v>
      </c>
      <c r="B18" t="s">
        <v>324</v>
      </c>
      <c r="C18" t="str">
        <f t="shared" si="0"/>
        <v>0.35</v>
      </c>
      <c r="D18" s="3" t="str">
        <f t="shared" si="1"/>
        <v>0.95</v>
      </c>
    </row>
    <row r="19" spans="1:4" x14ac:dyDescent="0.25">
      <c r="A19" s="7" t="s">
        <v>55</v>
      </c>
      <c r="B19" t="s">
        <v>325</v>
      </c>
      <c r="C19" t="str">
        <f t="shared" si="0"/>
        <v>6.50</v>
      </c>
      <c r="D19" s="3" t="str">
        <f t="shared" si="1"/>
        <v>12.50</v>
      </c>
    </row>
    <row r="20" spans="1:4" x14ac:dyDescent="0.25">
      <c r="A20" t="s">
        <v>229</v>
      </c>
      <c r="B20" t="s">
        <v>326</v>
      </c>
      <c r="C20" t="str">
        <f t="shared" si="0"/>
        <v>5.80</v>
      </c>
      <c r="D20" s="3" t="str">
        <f t="shared" si="1"/>
        <v>9.50</v>
      </c>
    </row>
    <row r="21" spans="1:4" x14ac:dyDescent="0.25">
      <c r="A21" s="6" t="s">
        <v>301</v>
      </c>
      <c r="B21" t="s">
        <v>327</v>
      </c>
      <c r="C21" t="str">
        <f>MID(B21,2,FIND("–",B21)-3)</f>
        <v>0.60</v>
      </c>
      <c r="D21" s="3" t="str">
        <f>MID(B21,FIND("–",B21)+3,LEN(B21)-FIND("–",B21)-1)</f>
        <v>1.25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56EF0-7966-4A3B-90B3-9E025C7EC10F}">
  <dimension ref="A1:P415"/>
  <sheetViews>
    <sheetView workbookViewId="0">
      <selection activeCell="P2" sqref="P2"/>
    </sheetView>
  </sheetViews>
  <sheetFormatPr defaultRowHeight="15" x14ac:dyDescent="0.25"/>
  <cols>
    <col min="1" max="1" width="26.28515625" bestFit="1" customWidth="1"/>
    <col min="2" max="2" width="30.7109375" bestFit="1" customWidth="1"/>
    <col min="3" max="3" width="30.28515625" customWidth="1"/>
    <col min="4" max="4" width="14.140625" customWidth="1"/>
    <col min="6" max="6" width="13.28515625" style="1" bestFit="1" customWidth="1"/>
    <col min="8" max="8" width="13.28515625" style="1" bestFit="1" customWidth="1"/>
    <col min="10" max="10" width="13.28515625" style="1" bestFit="1" customWidth="1"/>
    <col min="12" max="12" width="13.28515625" style="1" bestFit="1" customWidth="1"/>
    <col min="14" max="14" width="13.28515625" style="1" bestFit="1" customWidth="1"/>
    <col min="16" max="16" width="14.28515625" style="1" bestFit="1" customWidth="1"/>
    <col min="17" max="17" width="1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289</v>
      </c>
      <c r="J1" s="1" t="s">
        <v>8</v>
      </c>
      <c r="K1" t="s">
        <v>290</v>
      </c>
      <c r="L1" s="1" t="s">
        <v>9</v>
      </c>
      <c r="M1" t="s">
        <v>291</v>
      </c>
      <c r="N1" s="1" t="s">
        <v>10</v>
      </c>
      <c r="O1" t="s">
        <v>292</v>
      </c>
      <c r="P1" s="1" t="s">
        <v>275</v>
      </c>
    </row>
    <row r="2" spans="1:16" x14ac:dyDescent="0.25">
      <c r="A2" t="s">
        <v>11</v>
      </c>
      <c r="B2" t="s">
        <v>276</v>
      </c>
      <c r="C2" t="s">
        <v>13</v>
      </c>
      <c r="D2" t="s">
        <v>14</v>
      </c>
      <c r="E2" t="s">
        <v>15</v>
      </c>
      <c r="F2" s="1">
        <v>310.97000000000003</v>
      </c>
      <c r="H2" s="1">
        <v>624.25</v>
      </c>
      <c r="J2" s="1">
        <v>1152.5899999999999</v>
      </c>
      <c r="L2" s="1">
        <v>1163.6199999999999</v>
      </c>
      <c r="N2" s="1">
        <v>1104.2</v>
      </c>
      <c r="P2" s="1">
        <f>SUM(F2,H2,J2,L2,N2)</f>
        <v>4355.63</v>
      </c>
    </row>
    <row r="3" spans="1:16" x14ac:dyDescent="0.25">
      <c r="A3" t="s">
        <v>11</v>
      </c>
      <c r="B3" t="s">
        <v>277</v>
      </c>
      <c r="C3" t="s">
        <v>13</v>
      </c>
      <c r="D3" t="s">
        <v>14</v>
      </c>
      <c r="E3" t="s">
        <v>15</v>
      </c>
      <c r="F3" s="1">
        <v>375.07</v>
      </c>
      <c r="H3" s="1">
        <v>1821.24</v>
      </c>
      <c r="J3" s="1">
        <v>3547.79</v>
      </c>
      <c r="L3" s="1">
        <v>3169.49</v>
      </c>
      <c r="N3" s="1">
        <v>4617.3500000000004</v>
      </c>
      <c r="P3" s="1">
        <f t="shared" ref="P3:P66" si="0">SUM(F3,H3,J3,L3,N3)</f>
        <v>13530.94</v>
      </c>
    </row>
    <row r="4" spans="1:16" x14ac:dyDescent="0.25">
      <c r="A4" t="s">
        <v>11</v>
      </c>
      <c r="B4" t="s">
        <v>278</v>
      </c>
      <c r="C4" t="s">
        <v>13</v>
      </c>
      <c r="D4" t="s">
        <v>14</v>
      </c>
      <c r="E4" t="s">
        <v>15</v>
      </c>
      <c r="F4" s="1">
        <v>25.12</v>
      </c>
      <c r="H4" s="1">
        <v>917.88</v>
      </c>
      <c r="J4" s="1">
        <v>937.6</v>
      </c>
      <c r="L4" s="1">
        <v>486.85</v>
      </c>
      <c r="N4" s="1">
        <v>327.2</v>
      </c>
      <c r="P4" s="1">
        <f t="shared" si="0"/>
        <v>2694.6499999999996</v>
      </c>
    </row>
    <row r="5" spans="1:16" x14ac:dyDescent="0.25">
      <c r="A5" t="s">
        <v>11</v>
      </c>
      <c r="B5" t="s">
        <v>284</v>
      </c>
      <c r="C5" t="s">
        <v>13</v>
      </c>
      <c r="D5" t="s">
        <v>14</v>
      </c>
      <c r="E5" t="s">
        <v>15</v>
      </c>
      <c r="F5" s="1">
        <v>0</v>
      </c>
      <c r="G5" t="s">
        <v>19</v>
      </c>
      <c r="H5" s="1">
        <v>14705.2</v>
      </c>
      <c r="J5" s="1">
        <v>11865.38</v>
      </c>
      <c r="L5" s="1">
        <v>10433.33</v>
      </c>
      <c r="N5" s="1">
        <v>12595.14</v>
      </c>
      <c r="P5" s="1">
        <f t="shared" si="0"/>
        <v>49599.05</v>
      </c>
    </row>
    <row r="6" spans="1:16" x14ac:dyDescent="0.25">
      <c r="A6" t="s">
        <v>11</v>
      </c>
      <c r="B6" t="s">
        <v>279</v>
      </c>
      <c r="C6" t="s">
        <v>13</v>
      </c>
      <c r="D6" t="s">
        <v>14</v>
      </c>
      <c r="E6" t="s">
        <v>15</v>
      </c>
      <c r="F6" s="1">
        <v>4.8899999999999997</v>
      </c>
      <c r="H6" s="1">
        <v>0</v>
      </c>
      <c r="I6" t="s">
        <v>19</v>
      </c>
      <c r="J6" s="1">
        <v>0</v>
      </c>
      <c r="K6" t="s">
        <v>19</v>
      </c>
      <c r="L6" s="1">
        <v>0</v>
      </c>
      <c r="M6" t="s">
        <v>19</v>
      </c>
      <c r="N6" s="1">
        <v>0</v>
      </c>
      <c r="O6" t="s">
        <v>19</v>
      </c>
      <c r="P6" s="1">
        <f t="shared" si="0"/>
        <v>4.8899999999999997</v>
      </c>
    </row>
    <row r="7" spans="1:16" x14ac:dyDescent="0.25">
      <c r="A7" t="s">
        <v>11</v>
      </c>
      <c r="B7" t="s">
        <v>280</v>
      </c>
      <c r="C7" t="s">
        <v>13</v>
      </c>
      <c r="D7" t="s">
        <v>14</v>
      </c>
      <c r="E7" t="s">
        <v>15</v>
      </c>
      <c r="F7" s="1">
        <v>26736.880000000001</v>
      </c>
      <c r="H7" s="1">
        <v>7849.75</v>
      </c>
      <c r="J7" s="1">
        <v>4490.87</v>
      </c>
      <c r="L7" s="1">
        <v>7999.47</v>
      </c>
      <c r="N7" s="1">
        <v>9113.14</v>
      </c>
      <c r="P7" s="1">
        <f t="shared" si="0"/>
        <v>56190.110000000008</v>
      </c>
    </row>
    <row r="8" spans="1:16" x14ac:dyDescent="0.25">
      <c r="A8" t="s">
        <v>11</v>
      </c>
      <c r="B8" t="s">
        <v>281</v>
      </c>
      <c r="C8" t="s">
        <v>13</v>
      </c>
      <c r="D8" t="s">
        <v>14</v>
      </c>
      <c r="E8" t="s">
        <v>15</v>
      </c>
      <c r="F8" s="1">
        <v>5005.33</v>
      </c>
      <c r="H8" s="1">
        <v>8352.36</v>
      </c>
      <c r="J8" s="1">
        <v>8579.9599999999991</v>
      </c>
      <c r="L8" s="1">
        <v>5271.77</v>
      </c>
      <c r="N8" s="1">
        <v>5384.96</v>
      </c>
      <c r="P8" s="1">
        <f t="shared" si="0"/>
        <v>32594.38</v>
      </c>
    </row>
    <row r="9" spans="1:16" x14ac:dyDescent="0.25">
      <c r="A9" t="s">
        <v>11</v>
      </c>
      <c r="B9" t="s">
        <v>282</v>
      </c>
      <c r="C9" t="s">
        <v>13</v>
      </c>
      <c r="D9" t="s">
        <v>14</v>
      </c>
      <c r="E9" t="s">
        <v>15</v>
      </c>
      <c r="F9" s="1">
        <v>839.07</v>
      </c>
      <c r="H9" s="1">
        <v>367.16</v>
      </c>
      <c r="J9" s="1">
        <v>848.89</v>
      </c>
      <c r="L9" s="1">
        <v>1114.73</v>
      </c>
      <c r="N9" s="1">
        <v>1636.89</v>
      </c>
      <c r="P9" s="1">
        <f t="shared" si="0"/>
        <v>4806.74</v>
      </c>
    </row>
    <row r="10" spans="1:16" x14ac:dyDescent="0.25">
      <c r="A10" t="s">
        <v>11</v>
      </c>
      <c r="B10" t="s">
        <v>285</v>
      </c>
      <c r="C10" t="s">
        <v>25</v>
      </c>
      <c r="D10" t="s">
        <v>14</v>
      </c>
      <c r="E10" t="s">
        <v>15</v>
      </c>
      <c r="F10" s="1">
        <v>0</v>
      </c>
      <c r="G10" t="s">
        <v>19</v>
      </c>
      <c r="H10" s="1">
        <v>75.09</v>
      </c>
      <c r="J10" s="1">
        <v>43.69</v>
      </c>
      <c r="L10" s="1">
        <v>68.91</v>
      </c>
      <c r="N10" s="1">
        <v>91.13</v>
      </c>
      <c r="P10" s="1">
        <f t="shared" si="0"/>
        <v>278.82</v>
      </c>
    </row>
    <row r="11" spans="1:16" x14ac:dyDescent="0.25">
      <c r="A11" t="s">
        <v>11</v>
      </c>
      <c r="B11" t="s">
        <v>286</v>
      </c>
      <c r="C11" t="s">
        <v>25</v>
      </c>
      <c r="D11" t="s">
        <v>14</v>
      </c>
      <c r="E11" t="s">
        <v>15</v>
      </c>
      <c r="F11" s="1">
        <v>0</v>
      </c>
      <c r="G11" t="s">
        <v>19</v>
      </c>
      <c r="H11" s="1">
        <v>8282.94</v>
      </c>
      <c r="J11" s="1">
        <v>4309.66</v>
      </c>
      <c r="L11" s="1">
        <v>1367.73</v>
      </c>
      <c r="N11" s="1">
        <v>1782.86</v>
      </c>
      <c r="P11" s="1">
        <f t="shared" si="0"/>
        <v>15743.19</v>
      </c>
    </row>
    <row r="12" spans="1:16" x14ac:dyDescent="0.25">
      <c r="A12" t="s">
        <v>11</v>
      </c>
      <c r="B12" t="s">
        <v>287</v>
      </c>
      <c r="C12" t="s">
        <v>25</v>
      </c>
      <c r="D12" t="s">
        <v>14</v>
      </c>
      <c r="E12" t="s">
        <v>15</v>
      </c>
      <c r="F12" s="1">
        <v>0</v>
      </c>
      <c r="G12" t="s">
        <v>19</v>
      </c>
      <c r="H12" s="1">
        <v>267.13</v>
      </c>
      <c r="J12" s="1">
        <v>796.34</v>
      </c>
      <c r="L12" s="1">
        <v>765</v>
      </c>
      <c r="N12" s="1">
        <v>916.98</v>
      </c>
      <c r="P12" s="1">
        <f t="shared" si="0"/>
        <v>2745.45</v>
      </c>
    </row>
    <row r="13" spans="1:16" x14ac:dyDescent="0.25">
      <c r="A13" t="s">
        <v>11</v>
      </c>
      <c r="B13" t="s">
        <v>285</v>
      </c>
      <c r="C13" t="s">
        <v>28</v>
      </c>
      <c r="D13" t="s">
        <v>14</v>
      </c>
      <c r="E13" t="s">
        <v>15</v>
      </c>
      <c r="F13" s="1">
        <v>0</v>
      </c>
      <c r="G13" t="s">
        <v>19</v>
      </c>
      <c r="H13" s="1">
        <v>172.78</v>
      </c>
      <c r="J13" s="1">
        <v>135.99</v>
      </c>
      <c r="L13" s="1">
        <v>134.34</v>
      </c>
      <c r="N13" s="1">
        <v>143.30000000000001</v>
      </c>
      <c r="P13" s="1">
        <f t="shared" si="0"/>
        <v>586.41000000000008</v>
      </c>
    </row>
    <row r="14" spans="1:16" x14ac:dyDescent="0.25">
      <c r="A14" t="s">
        <v>11</v>
      </c>
      <c r="B14" t="s">
        <v>286</v>
      </c>
      <c r="C14" t="s">
        <v>28</v>
      </c>
      <c r="D14" t="s">
        <v>14</v>
      </c>
      <c r="E14" t="s">
        <v>15</v>
      </c>
      <c r="F14" s="1">
        <v>0</v>
      </c>
      <c r="G14" t="s">
        <v>19</v>
      </c>
      <c r="H14" s="1">
        <v>41663.08</v>
      </c>
      <c r="J14" s="1">
        <v>41531.050000000003</v>
      </c>
      <c r="L14" s="1">
        <v>55136.800000000003</v>
      </c>
      <c r="N14" s="1">
        <v>45348.56</v>
      </c>
      <c r="P14" s="1">
        <f t="shared" si="0"/>
        <v>183679.49</v>
      </c>
    </row>
    <row r="15" spans="1:16" x14ac:dyDescent="0.25">
      <c r="A15" t="s">
        <v>11</v>
      </c>
      <c r="B15" t="s">
        <v>287</v>
      </c>
      <c r="C15" t="s">
        <v>28</v>
      </c>
      <c r="D15" t="s">
        <v>14</v>
      </c>
      <c r="E15" t="s">
        <v>15</v>
      </c>
      <c r="F15" s="1">
        <v>0</v>
      </c>
      <c r="G15" t="s">
        <v>19</v>
      </c>
      <c r="H15" s="1">
        <v>14444.01</v>
      </c>
      <c r="J15" s="1">
        <v>16016.36</v>
      </c>
      <c r="L15" s="1">
        <v>20437.02</v>
      </c>
      <c r="N15" s="1">
        <v>14565.8</v>
      </c>
      <c r="P15" s="1">
        <f t="shared" si="0"/>
        <v>65463.19</v>
      </c>
    </row>
    <row r="16" spans="1:16" x14ac:dyDescent="0.25">
      <c r="A16" t="s">
        <v>11</v>
      </c>
      <c r="B16" t="s">
        <v>30</v>
      </c>
      <c r="C16" t="s">
        <v>25</v>
      </c>
      <c r="D16" t="s">
        <v>14</v>
      </c>
      <c r="E16" t="s">
        <v>15</v>
      </c>
      <c r="F16" s="1">
        <v>5604.51</v>
      </c>
      <c r="H16" s="1">
        <v>6477.73</v>
      </c>
      <c r="J16" s="1">
        <v>10568.59</v>
      </c>
      <c r="L16" s="1">
        <v>8896.48</v>
      </c>
      <c r="N16" s="1">
        <v>13153.82</v>
      </c>
      <c r="P16" s="1">
        <f t="shared" si="0"/>
        <v>44701.130000000005</v>
      </c>
    </row>
    <row r="17" spans="1:16" x14ac:dyDescent="0.25">
      <c r="A17" t="s">
        <v>11</v>
      </c>
      <c r="B17" t="s">
        <v>30</v>
      </c>
      <c r="C17" t="s">
        <v>28</v>
      </c>
      <c r="D17" t="s">
        <v>14</v>
      </c>
      <c r="E17" t="s">
        <v>15</v>
      </c>
      <c r="F17" s="1">
        <v>257</v>
      </c>
      <c r="H17" s="1">
        <v>21</v>
      </c>
      <c r="J17" s="1">
        <v>168</v>
      </c>
      <c r="L17" s="1">
        <v>87</v>
      </c>
      <c r="N17" s="1">
        <v>84</v>
      </c>
      <c r="P17" s="1">
        <f t="shared" si="0"/>
        <v>617</v>
      </c>
    </row>
    <row r="18" spans="1:16" x14ac:dyDescent="0.25">
      <c r="A18" t="s">
        <v>11</v>
      </c>
      <c r="B18" t="s">
        <v>31</v>
      </c>
      <c r="C18" t="s">
        <v>25</v>
      </c>
      <c r="D18" t="s">
        <v>14</v>
      </c>
      <c r="E18" t="s">
        <v>15</v>
      </c>
      <c r="F18" s="1">
        <v>0</v>
      </c>
      <c r="G18" t="s">
        <v>19</v>
      </c>
      <c r="H18" s="1">
        <v>32492.23</v>
      </c>
      <c r="J18" s="1">
        <v>28168.29</v>
      </c>
      <c r="L18" s="1">
        <v>24466.91</v>
      </c>
      <c r="N18" s="1">
        <v>23501.35</v>
      </c>
      <c r="P18" s="1">
        <f t="shared" si="0"/>
        <v>108628.78</v>
      </c>
    </row>
    <row r="19" spans="1:16" x14ac:dyDescent="0.25">
      <c r="A19" t="s">
        <v>11</v>
      </c>
      <c r="B19" t="s">
        <v>31</v>
      </c>
      <c r="C19" t="s">
        <v>28</v>
      </c>
      <c r="D19" t="s">
        <v>14</v>
      </c>
      <c r="E19" t="s">
        <v>15</v>
      </c>
      <c r="F19" s="1">
        <v>0</v>
      </c>
      <c r="G19" t="s">
        <v>19</v>
      </c>
      <c r="H19" s="1">
        <v>166228.18</v>
      </c>
      <c r="J19" s="1">
        <v>112498.79</v>
      </c>
      <c r="L19" s="1">
        <v>102356.52</v>
      </c>
      <c r="N19" s="1">
        <v>99724.33</v>
      </c>
      <c r="P19" s="1">
        <f t="shared" si="0"/>
        <v>480807.82</v>
      </c>
    </row>
    <row r="20" spans="1:16" x14ac:dyDescent="0.25">
      <c r="A20" t="s">
        <v>11</v>
      </c>
      <c r="B20" t="s">
        <v>32</v>
      </c>
      <c r="C20" t="s">
        <v>13</v>
      </c>
      <c r="D20" t="s">
        <v>14</v>
      </c>
      <c r="E20" t="s">
        <v>15</v>
      </c>
      <c r="F20" s="1">
        <v>800</v>
      </c>
      <c r="G20" t="s">
        <v>33</v>
      </c>
      <c r="H20" s="1">
        <v>800</v>
      </c>
      <c r="I20" t="s">
        <v>33</v>
      </c>
      <c r="J20" s="1">
        <v>600</v>
      </c>
      <c r="K20" t="s">
        <v>33</v>
      </c>
      <c r="L20" s="1">
        <v>800</v>
      </c>
      <c r="M20" t="s">
        <v>33</v>
      </c>
      <c r="N20" s="1">
        <v>850</v>
      </c>
      <c r="O20" t="s">
        <v>33</v>
      </c>
      <c r="P20" s="1">
        <f t="shared" si="0"/>
        <v>3850</v>
      </c>
    </row>
    <row r="21" spans="1:16" x14ac:dyDescent="0.25">
      <c r="A21" t="s">
        <v>11</v>
      </c>
      <c r="B21" t="s">
        <v>32</v>
      </c>
      <c r="C21" t="s">
        <v>25</v>
      </c>
      <c r="D21" t="s">
        <v>14</v>
      </c>
      <c r="E21" t="s">
        <v>15</v>
      </c>
      <c r="F21" s="1">
        <v>20000</v>
      </c>
      <c r="G21" t="s">
        <v>33</v>
      </c>
      <c r="H21" s="1">
        <v>18000</v>
      </c>
      <c r="I21" t="s">
        <v>33</v>
      </c>
      <c r="J21" s="1">
        <v>15000</v>
      </c>
      <c r="K21" t="s">
        <v>33</v>
      </c>
      <c r="L21" s="1">
        <v>10000</v>
      </c>
      <c r="M21" t="s">
        <v>33</v>
      </c>
      <c r="N21" s="1">
        <v>13000</v>
      </c>
      <c r="O21" t="s">
        <v>33</v>
      </c>
      <c r="P21" s="1">
        <f t="shared" si="0"/>
        <v>76000</v>
      </c>
    </row>
    <row r="22" spans="1:16" x14ac:dyDescent="0.25">
      <c r="A22" t="s">
        <v>11</v>
      </c>
      <c r="B22" t="s">
        <v>32</v>
      </c>
      <c r="C22" t="s">
        <v>28</v>
      </c>
      <c r="D22" t="s">
        <v>14</v>
      </c>
      <c r="E22" t="s">
        <v>15</v>
      </c>
      <c r="F22" s="1">
        <v>30000</v>
      </c>
      <c r="G22" t="s">
        <v>33</v>
      </c>
      <c r="H22" s="1">
        <v>25000</v>
      </c>
      <c r="I22" t="s">
        <v>33</v>
      </c>
      <c r="J22" s="1">
        <v>20000</v>
      </c>
      <c r="K22" t="s">
        <v>33</v>
      </c>
      <c r="L22" s="1">
        <v>19000</v>
      </c>
      <c r="M22" t="s">
        <v>33</v>
      </c>
      <c r="N22" s="1">
        <v>22000</v>
      </c>
      <c r="O22" t="s">
        <v>33</v>
      </c>
      <c r="P22" s="1">
        <f t="shared" si="0"/>
        <v>116000</v>
      </c>
    </row>
    <row r="23" spans="1:16" x14ac:dyDescent="0.25">
      <c r="A23" t="s">
        <v>11</v>
      </c>
      <c r="B23" t="s">
        <v>35</v>
      </c>
      <c r="C23" t="s">
        <v>13</v>
      </c>
      <c r="D23" t="s">
        <v>14</v>
      </c>
      <c r="E23" t="s">
        <v>15</v>
      </c>
      <c r="F23" s="1">
        <v>37723.699999999997</v>
      </c>
      <c r="H23" s="1">
        <v>31724.92</v>
      </c>
      <c r="J23" s="1">
        <v>18376.43</v>
      </c>
      <c r="L23" s="1">
        <v>22503.040000000001</v>
      </c>
      <c r="N23" s="1">
        <v>18030.09</v>
      </c>
      <c r="P23" s="1">
        <f t="shared" si="0"/>
        <v>128358.18</v>
      </c>
    </row>
    <row r="24" spans="1:16" x14ac:dyDescent="0.25">
      <c r="A24" t="s">
        <v>11</v>
      </c>
      <c r="B24" t="s">
        <v>36</v>
      </c>
      <c r="C24" t="s">
        <v>13</v>
      </c>
      <c r="D24" t="s">
        <v>14</v>
      </c>
      <c r="E24" t="s">
        <v>15</v>
      </c>
      <c r="F24" s="1">
        <v>0</v>
      </c>
      <c r="G24" t="s">
        <v>19</v>
      </c>
      <c r="H24" s="1">
        <v>3573.39</v>
      </c>
      <c r="J24" s="1">
        <v>3658.11</v>
      </c>
      <c r="L24" s="1">
        <v>3584.18</v>
      </c>
      <c r="N24" s="1">
        <v>3924.95</v>
      </c>
      <c r="P24" s="1">
        <f t="shared" si="0"/>
        <v>14740.630000000001</v>
      </c>
    </row>
    <row r="25" spans="1:16" x14ac:dyDescent="0.25">
      <c r="A25" t="s">
        <v>11</v>
      </c>
      <c r="B25" t="s">
        <v>37</v>
      </c>
      <c r="C25" t="s">
        <v>25</v>
      </c>
      <c r="D25" t="s">
        <v>14</v>
      </c>
      <c r="E25" t="s">
        <v>15</v>
      </c>
      <c r="F25" s="1">
        <v>0</v>
      </c>
      <c r="G25" t="s">
        <v>19</v>
      </c>
      <c r="H25" s="1">
        <v>226.38</v>
      </c>
      <c r="J25" s="1">
        <v>588.02</v>
      </c>
      <c r="L25" s="1">
        <v>670.67</v>
      </c>
      <c r="N25" s="1">
        <v>684.77</v>
      </c>
      <c r="P25" s="1">
        <f t="shared" si="0"/>
        <v>2169.84</v>
      </c>
    </row>
    <row r="26" spans="1:16" x14ac:dyDescent="0.25">
      <c r="A26" t="s">
        <v>11</v>
      </c>
      <c r="B26" t="s">
        <v>38</v>
      </c>
      <c r="C26" t="s">
        <v>25</v>
      </c>
      <c r="D26" t="s">
        <v>14</v>
      </c>
      <c r="E26" t="s">
        <v>15</v>
      </c>
      <c r="F26" s="1">
        <v>15038.6</v>
      </c>
      <c r="H26" s="1">
        <v>79733.17</v>
      </c>
      <c r="J26" s="1">
        <v>33516.36</v>
      </c>
      <c r="L26" s="1">
        <v>47220.33</v>
      </c>
      <c r="N26" s="1">
        <v>32499.56</v>
      </c>
      <c r="P26" s="1">
        <f t="shared" si="0"/>
        <v>208008.02000000002</v>
      </c>
    </row>
    <row r="27" spans="1:16" x14ac:dyDescent="0.25">
      <c r="A27" t="s">
        <v>11</v>
      </c>
      <c r="B27" t="s">
        <v>38</v>
      </c>
      <c r="C27" t="s">
        <v>28</v>
      </c>
      <c r="D27" t="s">
        <v>14</v>
      </c>
      <c r="E27" t="s">
        <v>15</v>
      </c>
      <c r="F27" s="1">
        <v>35960.6</v>
      </c>
      <c r="H27" s="1">
        <v>10284.6</v>
      </c>
      <c r="J27" s="1">
        <v>1273.08</v>
      </c>
      <c r="L27" s="1">
        <v>8455.09</v>
      </c>
      <c r="N27" s="1">
        <v>20511.3</v>
      </c>
      <c r="P27" s="1">
        <f t="shared" si="0"/>
        <v>76484.67</v>
      </c>
    </row>
    <row r="28" spans="1:16" x14ac:dyDescent="0.25">
      <c r="A28" t="s">
        <v>11</v>
      </c>
      <c r="B28" t="s">
        <v>39</v>
      </c>
      <c r="C28" t="s">
        <v>25</v>
      </c>
      <c r="D28" t="s">
        <v>14</v>
      </c>
      <c r="E28" t="s">
        <v>15</v>
      </c>
      <c r="F28" s="1">
        <v>17265.78</v>
      </c>
      <c r="H28" s="1">
        <v>10298.39</v>
      </c>
      <c r="J28" s="1">
        <v>6939.36</v>
      </c>
      <c r="L28" s="1">
        <v>10610.5</v>
      </c>
      <c r="N28" s="1">
        <v>8799.2199999999993</v>
      </c>
      <c r="P28" s="1">
        <f t="shared" si="0"/>
        <v>53913.25</v>
      </c>
    </row>
    <row r="29" spans="1:16" x14ac:dyDescent="0.25">
      <c r="A29" t="s">
        <v>11</v>
      </c>
      <c r="B29" t="s">
        <v>39</v>
      </c>
      <c r="C29" t="s">
        <v>28</v>
      </c>
      <c r="D29" t="s">
        <v>14</v>
      </c>
      <c r="E29" t="s">
        <v>15</v>
      </c>
      <c r="F29" s="1">
        <v>46809.35</v>
      </c>
      <c r="H29" s="1">
        <v>22897.06</v>
      </c>
      <c r="J29" s="1">
        <v>15326.01</v>
      </c>
      <c r="L29" s="1">
        <v>17345.02</v>
      </c>
      <c r="N29" s="1">
        <v>26539.200000000001</v>
      </c>
      <c r="P29" s="1">
        <f t="shared" si="0"/>
        <v>128916.64</v>
      </c>
    </row>
    <row r="30" spans="1:16" x14ac:dyDescent="0.25">
      <c r="A30" t="s">
        <v>11</v>
      </c>
      <c r="B30" t="s">
        <v>40</v>
      </c>
      <c r="C30" t="s">
        <v>13</v>
      </c>
      <c r="D30" t="s">
        <v>14</v>
      </c>
      <c r="E30" t="s">
        <v>15</v>
      </c>
      <c r="F30" s="1">
        <v>0</v>
      </c>
      <c r="G30" t="s">
        <v>19</v>
      </c>
      <c r="H30" s="1">
        <v>33.42</v>
      </c>
      <c r="J30" s="1">
        <v>3.55</v>
      </c>
      <c r="L30" s="1">
        <v>0.6</v>
      </c>
      <c r="N30" s="1">
        <v>0.02</v>
      </c>
      <c r="P30" s="1">
        <f t="shared" si="0"/>
        <v>37.590000000000003</v>
      </c>
    </row>
    <row r="31" spans="1:16" x14ac:dyDescent="0.25">
      <c r="A31" t="s">
        <v>11</v>
      </c>
      <c r="B31" t="s">
        <v>41</v>
      </c>
      <c r="C31" t="s">
        <v>25</v>
      </c>
      <c r="D31" t="s">
        <v>14</v>
      </c>
      <c r="E31" t="s">
        <v>15</v>
      </c>
      <c r="F31" s="1">
        <v>0</v>
      </c>
      <c r="G31" t="s">
        <v>19</v>
      </c>
      <c r="H31" s="1">
        <v>10216.31</v>
      </c>
      <c r="J31" s="1">
        <v>12964.78</v>
      </c>
      <c r="L31" s="1">
        <v>14752.3</v>
      </c>
      <c r="N31" s="1">
        <v>14000.23</v>
      </c>
      <c r="P31" s="1">
        <f t="shared" si="0"/>
        <v>51933.619999999995</v>
      </c>
    </row>
    <row r="32" spans="1:16" x14ac:dyDescent="0.25">
      <c r="A32" t="s">
        <v>11</v>
      </c>
      <c r="B32" t="s">
        <v>41</v>
      </c>
      <c r="C32" t="s">
        <v>28</v>
      </c>
      <c r="D32" t="s">
        <v>14</v>
      </c>
      <c r="E32" t="s">
        <v>15</v>
      </c>
      <c r="F32" s="1">
        <v>0</v>
      </c>
      <c r="G32" t="s">
        <v>19</v>
      </c>
      <c r="H32" s="1">
        <v>22127.95</v>
      </c>
      <c r="J32" s="1">
        <v>24667.66</v>
      </c>
      <c r="L32" s="1">
        <v>23042.31</v>
      </c>
      <c r="N32" s="1">
        <v>22525.87</v>
      </c>
      <c r="P32" s="1">
        <f t="shared" si="0"/>
        <v>92363.79</v>
      </c>
    </row>
    <row r="33" spans="1:16" x14ac:dyDescent="0.25">
      <c r="A33" t="s">
        <v>11</v>
      </c>
      <c r="B33" t="s">
        <v>42</v>
      </c>
      <c r="C33" t="s">
        <v>25</v>
      </c>
      <c r="D33" t="s">
        <v>14</v>
      </c>
      <c r="E33" t="s">
        <v>15</v>
      </c>
      <c r="F33" s="1">
        <v>0</v>
      </c>
      <c r="G33" t="s">
        <v>19</v>
      </c>
      <c r="H33" s="1">
        <v>1888.46</v>
      </c>
      <c r="J33" s="1">
        <v>1963.79</v>
      </c>
      <c r="L33" s="1">
        <v>13171.64</v>
      </c>
      <c r="N33" s="1">
        <v>2770.63</v>
      </c>
      <c r="P33" s="1">
        <f t="shared" si="0"/>
        <v>19794.52</v>
      </c>
    </row>
    <row r="34" spans="1:16" x14ac:dyDescent="0.25">
      <c r="A34" t="s">
        <v>11</v>
      </c>
      <c r="B34" t="s">
        <v>42</v>
      </c>
      <c r="C34" t="s">
        <v>28</v>
      </c>
      <c r="D34" t="s">
        <v>14</v>
      </c>
      <c r="E34" t="s">
        <v>15</v>
      </c>
      <c r="F34" s="1">
        <v>0</v>
      </c>
      <c r="G34" t="s">
        <v>19</v>
      </c>
      <c r="H34" s="1">
        <v>5872.69</v>
      </c>
      <c r="J34" s="1">
        <v>8580.51</v>
      </c>
      <c r="L34" s="1">
        <v>6111.72</v>
      </c>
      <c r="N34" s="1">
        <v>4357.41</v>
      </c>
      <c r="P34" s="1">
        <f t="shared" si="0"/>
        <v>24922.33</v>
      </c>
    </row>
    <row r="35" spans="1:16" x14ac:dyDescent="0.25">
      <c r="A35" t="s">
        <v>11</v>
      </c>
      <c r="B35" t="s">
        <v>43</v>
      </c>
      <c r="C35" t="s">
        <v>13</v>
      </c>
      <c r="D35" t="s">
        <v>14</v>
      </c>
      <c r="E35" t="s">
        <v>15</v>
      </c>
      <c r="F35" s="1">
        <v>0</v>
      </c>
      <c r="G35" t="s">
        <v>19</v>
      </c>
      <c r="H35" s="1">
        <v>466.77</v>
      </c>
      <c r="J35" s="1">
        <v>478.49</v>
      </c>
      <c r="L35" s="1">
        <v>616.88</v>
      </c>
      <c r="N35" s="1">
        <v>323.33999999999997</v>
      </c>
      <c r="P35" s="1">
        <f t="shared" si="0"/>
        <v>1885.4799999999998</v>
      </c>
    </row>
    <row r="36" spans="1:16" x14ac:dyDescent="0.25">
      <c r="A36" t="s">
        <v>11</v>
      </c>
      <c r="B36" t="s">
        <v>43</v>
      </c>
      <c r="C36" t="s">
        <v>25</v>
      </c>
      <c r="D36" t="s">
        <v>14</v>
      </c>
      <c r="E36" t="s">
        <v>15</v>
      </c>
      <c r="F36" s="1">
        <v>6000</v>
      </c>
      <c r="G36" t="s">
        <v>33</v>
      </c>
      <c r="H36" s="1">
        <v>5133.8599999999997</v>
      </c>
      <c r="J36" s="1">
        <v>4772.6400000000003</v>
      </c>
      <c r="L36" s="1">
        <v>4225.49</v>
      </c>
      <c r="N36" s="1">
        <v>5612.35</v>
      </c>
      <c r="P36" s="1">
        <f t="shared" si="0"/>
        <v>25744.339999999997</v>
      </c>
    </row>
    <row r="37" spans="1:16" x14ac:dyDescent="0.25">
      <c r="A37" t="s">
        <v>11</v>
      </c>
      <c r="B37" t="s">
        <v>43</v>
      </c>
      <c r="C37" t="s">
        <v>28</v>
      </c>
      <c r="D37" t="s">
        <v>14</v>
      </c>
      <c r="E37" t="s">
        <v>15</v>
      </c>
      <c r="F37" s="1">
        <v>40000</v>
      </c>
      <c r="G37" t="s">
        <v>33</v>
      </c>
      <c r="H37" s="1">
        <v>31264.880000000001</v>
      </c>
      <c r="J37" s="1">
        <v>29439.8</v>
      </c>
      <c r="L37" s="1">
        <v>32160.880000000001</v>
      </c>
      <c r="N37" s="1">
        <v>33351.26</v>
      </c>
      <c r="P37" s="1">
        <f t="shared" si="0"/>
        <v>166216.82</v>
      </c>
    </row>
    <row r="38" spans="1:16" x14ac:dyDescent="0.25">
      <c r="A38" t="s">
        <v>11</v>
      </c>
      <c r="B38" t="s">
        <v>44</v>
      </c>
      <c r="C38" t="s">
        <v>13</v>
      </c>
      <c r="D38" t="s">
        <v>14</v>
      </c>
      <c r="E38" t="s">
        <v>15</v>
      </c>
      <c r="F38" s="1">
        <v>648.89</v>
      </c>
      <c r="H38" s="1">
        <v>226.38</v>
      </c>
      <c r="J38" s="1">
        <v>438.77</v>
      </c>
      <c r="L38" s="1">
        <v>484.03</v>
      </c>
      <c r="N38" s="1">
        <v>1034.77</v>
      </c>
      <c r="P38" s="1">
        <f t="shared" si="0"/>
        <v>2832.84</v>
      </c>
    </row>
    <row r="39" spans="1:16" x14ac:dyDescent="0.25">
      <c r="A39" t="s">
        <v>11</v>
      </c>
      <c r="B39" t="s">
        <v>45</v>
      </c>
      <c r="C39" t="s">
        <v>28</v>
      </c>
      <c r="D39" t="s">
        <v>14</v>
      </c>
      <c r="E39" t="s">
        <v>15</v>
      </c>
      <c r="F39" s="1">
        <v>0</v>
      </c>
      <c r="G39" t="s">
        <v>19</v>
      </c>
      <c r="H39" s="1">
        <v>2123.7199999999998</v>
      </c>
      <c r="J39" s="1">
        <v>4508.72</v>
      </c>
      <c r="L39" s="1">
        <v>3465.43</v>
      </c>
      <c r="N39" s="1">
        <v>4788.03</v>
      </c>
      <c r="P39" s="1">
        <f t="shared" si="0"/>
        <v>14885.900000000001</v>
      </c>
    </row>
    <row r="40" spans="1:16" x14ac:dyDescent="0.25">
      <c r="A40" t="s">
        <v>11</v>
      </c>
      <c r="B40" t="s">
        <v>46</v>
      </c>
      <c r="C40" t="s">
        <v>25</v>
      </c>
      <c r="D40" t="s">
        <v>14</v>
      </c>
      <c r="E40" t="s">
        <v>15</v>
      </c>
      <c r="F40" s="1">
        <v>5576.66</v>
      </c>
      <c r="H40" s="1">
        <v>13767.12</v>
      </c>
      <c r="J40" s="1">
        <v>11005.64</v>
      </c>
      <c r="L40" s="1">
        <v>9626.74</v>
      </c>
      <c r="N40" s="1">
        <v>8990.75</v>
      </c>
      <c r="P40" s="1">
        <f t="shared" si="0"/>
        <v>48966.909999999996</v>
      </c>
    </row>
    <row r="41" spans="1:16" x14ac:dyDescent="0.25">
      <c r="A41" t="s">
        <v>11</v>
      </c>
      <c r="B41" t="s">
        <v>46</v>
      </c>
      <c r="C41" t="s">
        <v>28</v>
      </c>
      <c r="D41" t="s">
        <v>14</v>
      </c>
      <c r="E41" t="s">
        <v>15</v>
      </c>
      <c r="F41" s="1">
        <v>22621.7</v>
      </c>
      <c r="H41" s="1">
        <v>47259.38</v>
      </c>
      <c r="J41" s="1">
        <v>45368.66</v>
      </c>
      <c r="L41" s="1">
        <v>49123.29</v>
      </c>
      <c r="N41" s="1">
        <v>44963.66</v>
      </c>
      <c r="P41" s="1">
        <f t="shared" si="0"/>
        <v>209336.69</v>
      </c>
    </row>
    <row r="42" spans="1:16" x14ac:dyDescent="0.25">
      <c r="A42" t="s">
        <v>11</v>
      </c>
      <c r="B42" t="s">
        <v>47</v>
      </c>
      <c r="C42" t="s">
        <v>25</v>
      </c>
      <c r="D42" t="s">
        <v>14</v>
      </c>
      <c r="E42" t="s">
        <v>15</v>
      </c>
      <c r="F42" s="1">
        <v>20184.990000000002</v>
      </c>
      <c r="H42" s="1">
        <v>18315.759999999998</v>
      </c>
      <c r="J42" s="1">
        <v>24105.93</v>
      </c>
      <c r="L42" s="1">
        <v>19590.54</v>
      </c>
      <c r="N42" s="1">
        <v>33126.589999999997</v>
      </c>
      <c r="P42" s="1">
        <f t="shared" si="0"/>
        <v>115323.81</v>
      </c>
    </row>
    <row r="43" spans="1:16" x14ac:dyDescent="0.25">
      <c r="A43" t="s">
        <v>11</v>
      </c>
      <c r="B43" t="s">
        <v>47</v>
      </c>
      <c r="C43" t="s">
        <v>28</v>
      </c>
      <c r="D43" t="s">
        <v>14</v>
      </c>
      <c r="E43" t="s">
        <v>15</v>
      </c>
      <c r="F43" s="1">
        <v>19574</v>
      </c>
      <c r="H43" s="1">
        <v>19162</v>
      </c>
      <c r="J43" s="1">
        <v>22898</v>
      </c>
      <c r="L43" s="1">
        <v>22617</v>
      </c>
      <c r="N43" s="1">
        <v>28108</v>
      </c>
      <c r="P43" s="1">
        <f t="shared" si="0"/>
        <v>112359</v>
      </c>
    </row>
    <row r="44" spans="1:16" x14ac:dyDescent="0.25">
      <c r="A44" t="s">
        <v>11</v>
      </c>
      <c r="B44" t="s">
        <v>48</v>
      </c>
      <c r="C44" t="s">
        <v>25</v>
      </c>
      <c r="D44" t="s">
        <v>14</v>
      </c>
      <c r="E44" t="s">
        <v>15</v>
      </c>
      <c r="F44" s="1">
        <v>1959.8</v>
      </c>
      <c r="H44" s="1">
        <v>2545.7600000000002</v>
      </c>
      <c r="J44" s="1">
        <v>1751.97</v>
      </c>
      <c r="L44" s="1">
        <v>1235.3900000000001</v>
      </c>
      <c r="N44" s="1">
        <v>996.96</v>
      </c>
      <c r="P44" s="1">
        <f t="shared" si="0"/>
        <v>8489.880000000001</v>
      </c>
    </row>
    <row r="45" spans="1:16" x14ac:dyDescent="0.25">
      <c r="A45" t="s">
        <v>11</v>
      </c>
      <c r="B45" t="s">
        <v>48</v>
      </c>
      <c r="C45" t="s">
        <v>28</v>
      </c>
      <c r="D45" t="s">
        <v>14</v>
      </c>
      <c r="E45" t="s">
        <v>15</v>
      </c>
      <c r="F45" s="1">
        <v>46335.26</v>
      </c>
      <c r="H45" s="1">
        <v>19089.46</v>
      </c>
      <c r="J45" s="1">
        <v>31489.119999999999</v>
      </c>
      <c r="L45" s="1">
        <v>32621.119999999999</v>
      </c>
      <c r="N45" s="1">
        <v>30020.799999999999</v>
      </c>
      <c r="P45" s="1">
        <f t="shared" si="0"/>
        <v>159555.75999999998</v>
      </c>
    </row>
    <row r="46" spans="1:16" x14ac:dyDescent="0.25">
      <c r="A46" t="s">
        <v>11</v>
      </c>
      <c r="B46" t="s">
        <v>49</v>
      </c>
      <c r="C46" t="s">
        <v>25</v>
      </c>
      <c r="D46" t="s">
        <v>14</v>
      </c>
      <c r="E46" t="s">
        <v>15</v>
      </c>
      <c r="F46" s="1">
        <v>1426.16</v>
      </c>
      <c r="H46" s="1">
        <v>2105.96</v>
      </c>
      <c r="J46" s="1">
        <v>2355.48</v>
      </c>
      <c r="L46" s="1">
        <v>1917.36</v>
      </c>
      <c r="N46" s="1">
        <v>2982.34</v>
      </c>
      <c r="P46" s="1">
        <f t="shared" si="0"/>
        <v>10787.3</v>
      </c>
    </row>
    <row r="47" spans="1:16" x14ac:dyDescent="0.25">
      <c r="A47" t="s">
        <v>11</v>
      </c>
      <c r="B47" t="s">
        <v>49</v>
      </c>
      <c r="C47" t="s">
        <v>28</v>
      </c>
      <c r="D47" t="s">
        <v>14</v>
      </c>
      <c r="E47" t="s">
        <v>15</v>
      </c>
      <c r="F47" s="1">
        <v>2297.1999999999998</v>
      </c>
      <c r="H47" s="1">
        <v>2834.75</v>
      </c>
      <c r="J47" s="1">
        <v>2623.6</v>
      </c>
      <c r="L47" s="1">
        <v>5376.02</v>
      </c>
      <c r="N47" s="1">
        <v>3211.4</v>
      </c>
      <c r="P47" s="1">
        <f t="shared" si="0"/>
        <v>16342.97</v>
      </c>
    </row>
    <row r="48" spans="1:16" x14ac:dyDescent="0.25">
      <c r="A48" t="s">
        <v>11</v>
      </c>
      <c r="B48" t="s">
        <v>50</v>
      </c>
      <c r="C48" t="s">
        <v>25</v>
      </c>
      <c r="D48" t="s">
        <v>14</v>
      </c>
      <c r="E48" t="s">
        <v>15</v>
      </c>
      <c r="F48" s="1">
        <v>11338.01</v>
      </c>
      <c r="H48" s="1">
        <v>12745.11</v>
      </c>
      <c r="J48" s="1">
        <v>16291.82</v>
      </c>
      <c r="L48" s="1">
        <v>10490.47</v>
      </c>
      <c r="N48" s="1">
        <v>13598.6</v>
      </c>
      <c r="P48" s="1">
        <f t="shared" si="0"/>
        <v>64464.01</v>
      </c>
    </row>
    <row r="49" spans="1:16" x14ac:dyDescent="0.25">
      <c r="A49" t="s">
        <v>11</v>
      </c>
      <c r="B49" t="s">
        <v>50</v>
      </c>
      <c r="C49" t="s">
        <v>28</v>
      </c>
      <c r="D49" t="s">
        <v>14</v>
      </c>
      <c r="E49" t="s">
        <v>15</v>
      </c>
      <c r="F49" s="1">
        <v>105143.6</v>
      </c>
      <c r="H49" s="1">
        <v>44414.55</v>
      </c>
      <c r="J49" s="1">
        <v>47953.440000000002</v>
      </c>
      <c r="L49" s="1">
        <v>51284.76</v>
      </c>
      <c r="N49" s="1">
        <v>43575.57</v>
      </c>
      <c r="P49" s="1">
        <f t="shared" si="0"/>
        <v>292371.92000000004</v>
      </c>
    </row>
    <row r="50" spans="1:16" x14ac:dyDescent="0.25">
      <c r="A50" t="s">
        <v>11</v>
      </c>
      <c r="B50" t="s">
        <v>51</v>
      </c>
      <c r="C50" t="s">
        <v>25</v>
      </c>
      <c r="D50" t="s">
        <v>14</v>
      </c>
      <c r="E50" t="s">
        <v>15</v>
      </c>
      <c r="F50" s="1">
        <v>43366.1</v>
      </c>
      <c r="H50" s="1">
        <v>47735.46</v>
      </c>
      <c r="J50" s="1">
        <v>44781.1</v>
      </c>
      <c r="L50" s="1">
        <v>37928.660000000003</v>
      </c>
      <c r="N50" s="1">
        <v>30050.5</v>
      </c>
      <c r="P50" s="1">
        <f t="shared" si="0"/>
        <v>203861.82</v>
      </c>
    </row>
    <row r="51" spans="1:16" x14ac:dyDescent="0.25">
      <c r="A51" t="s">
        <v>11</v>
      </c>
      <c r="B51" t="s">
        <v>51</v>
      </c>
      <c r="C51" t="s">
        <v>28</v>
      </c>
      <c r="D51" t="s">
        <v>14</v>
      </c>
      <c r="E51" t="s">
        <v>15</v>
      </c>
      <c r="F51" s="1">
        <v>43358.54</v>
      </c>
      <c r="H51" s="1">
        <v>52946.59</v>
      </c>
      <c r="J51" s="1">
        <v>47215.03</v>
      </c>
      <c r="L51" s="1">
        <v>43717.83</v>
      </c>
      <c r="N51" s="1">
        <v>45829.77</v>
      </c>
      <c r="P51" s="1">
        <f t="shared" si="0"/>
        <v>233067.75999999998</v>
      </c>
    </row>
    <row r="52" spans="1:16" x14ac:dyDescent="0.25">
      <c r="A52" t="s">
        <v>11</v>
      </c>
      <c r="B52" t="s">
        <v>52</v>
      </c>
      <c r="C52" t="s">
        <v>25</v>
      </c>
      <c r="D52" t="s">
        <v>14</v>
      </c>
      <c r="E52" t="s">
        <v>15</v>
      </c>
      <c r="F52" s="1">
        <v>840.47</v>
      </c>
      <c r="H52" s="1">
        <v>1106.6400000000001</v>
      </c>
      <c r="J52" s="1">
        <v>2837.23</v>
      </c>
      <c r="L52" s="1">
        <v>2775.02</v>
      </c>
      <c r="N52" s="1">
        <v>1591.24</v>
      </c>
      <c r="P52" s="1">
        <f t="shared" si="0"/>
        <v>9150.6</v>
      </c>
    </row>
    <row r="53" spans="1:16" x14ac:dyDescent="0.25">
      <c r="A53" t="s">
        <v>11</v>
      </c>
      <c r="B53" t="s">
        <v>52</v>
      </c>
      <c r="C53" t="s">
        <v>28</v>
      </c>
      <c r="D53" t="s">
        <v>14</v>
      </c>
      <c r="E53" t="s">
        <v>15</v>
      </c>
      <c r="F53" s="1">
        <v>520.84</v>
      </c>
      <c r="H53" s="1">
        <v>0.11</v>
      </c>
      <c r="J53" s="1">
        <v>189.6</v>
      </c>
      <c r="L53" s="1">
        <v>243.3</v>
      </c>
      <c r="N53" s="1">
        <v>121.44</v>
      </c>
      <c r="P53" s="1">
        <f t="shared" si="0"/>
        <v>1075.2900000000002</v>
      </c>
    </row>
    <row r="54" spans="1:16" x14ac:dyDescent="0.25">
      <c r="A54" t="s">
        <v>11</v>
      </c>
      <c r="B54" t="s">
        <v>53</v>
      </c>
      <c r="C54" t="s">
        <v>25</v>
      </c>
      <c r="D54" t="s">
        <v>14</v>
      </c>
      <c r="E54" t="s">
        <v>15</v>
      </c>
      <c r="F54" s="1">
        <v>220.43</v>
      </c>
      <c r="H54" s="1">
        <v>596.99</v>
      </c>
      <c r="J54" s="1">
        <v>803.86</v>
      </c>
      <c r="L54" s="1">
        <v>407.93</v>
      </c>
      <c r="N54" s="1">
        <v>794.63</v>
      </c>
      <c r="P54" s="1">
        <f t="shared" si="0"/>
        <v>2823.84</v>
      </c>
    </row>
    <row r="55" spans="1:16" x14ac:dyDescent="0.25">
      <c r="A55" t="s">
        <v>11</v>
      </c>
      <c r="B55" t="s">
        <v>53</v>
      </c>
      <c r="C55" t="s">
        <v>28</v>
      </c>
      <c r="D55" t="s">
        <v>14</v>
      </c>
      <c r="E55" t="s">
        <v>15</v>
      </c>
      <c r="F55" s="1">
        <v>263</v>
      </c>
      <c r="H55" s="1">
        <v>263</v>
      </c>
      <c r="J55" s="1">
        <v>263</v>
      </c>
      <c r="L55" s="1">
        <v>267</v>
      </c>
      <c r="N55" s="1">
        <v>267</v>
      </c>
      <c r="P55" s="1">
        <f t="shared" si="0"/>
        <v>1323</v>
      </c>
    </row>
    <row r="56" spans="1:16" x14ac:dyDescent="0.25">
      <c r="A56" t="s">
        <v>11</v>
      </c>
      <c r="B56" t="s">
        <v>54</v>
      </c>
      <c r="C56" t="s">
        <v>25</v>
      </c>
      <c r="D56" t="s">
        <v>14</v>
      </c>
      <c r="E56" t="s">
        <v>15</v>
      </c>
      <c r="F56" s="1">
        <v>12336.25</v>
      </c>
      <c r="H56" s="1">
        <v>14909.64</v>
      </c>
      <c r="J56" s="1">
        <v>22043.86</v>
      </c>
      <c r="L56" s="1">
        <v>17411.62</v>
      </c>
      <c r="N56" s="1">
        <v>17873.36</v>
      </c>
      <c r="P56" s="1">
        <f t="shared" si="0"/>
        <v>84574.73</v>
      </c>
    </row>
    <row r="57" spans="1:16" x14ac:dyDescent="0.25">
      <c r="A57" t="s">
        <v>11</v>
      </c>
      <c r="B57" t="s">
        <v>54</v>
      </c>
      <c r="C57" t="s">
        <v>28</v>
      </c>
      <c r="D57" t="s">
        <v>14</v>
      </c>
      <c r="E57" t="s">
        <v>15</v>
      </c>
      <c r="F57" s="1">
        <v>0</v>
      </c>
      <c r="G57" t="s">
        <v>19</v>
      </c>
      <c r="H57" s="1">
        <v>43.01</v>
      </c>
      <c r="J57" s="1">
        <v>95.54</v>
      </c>
      <c r="L57" s="1">
        <v>394.02</v>
      </c>
      <c r="N57" s="1">
        <v>0</v>
      </c>
      <c r="O57" t="s">
        <v>19</v>
      </c>
      <c r="P57" s="1">
        <f t="shared" si="0"/>
        <v>532.56999999999994</v>
      </c>
    </row>
    <row r="58" spans="1:16" x14ac:dyDescent="0.25">
      <c r="A58" t="s">
        <v>11</v>
      </c>
      <c r="B58" t="s">
        <v>55</v>
      </c>
      <c r="C58" t="s">
        <v>25</v>
      </c>
      <c r="D58" t="s">
        <v>14</v>
      </c>
      <c r="E58" t="s">
        <v>15</v>
      </c>
      <c r="F58" s="1">
        <v>38799.269999999997</v>
      </c>
      <c r="H58" s="1">
        <v>8537.36</v>
      </c>
      <c r="J58" s="1">
        <v>10975.37</v>
      </c>
      <c r="L58" s="1">
        <v>12083.09</v>
      </c>
      <c r="N58" s="1">
        <v>11443.97</v>
      </c>
      <c r="P58" s="1">
        <f t="shared" si="0"/>
        <v>81839.06</v>
      </c>
    </row>
    <row r="59" spans="1:16" x14ac:dyDescent="0.25">
      <c r="A59" t="s">
        <v>11</v>
      </c>
      <c r="B59" t="s">
        <v>55</v>
      </c>
      <c r="C59" t="s">
        <v>28</v>
      </c>
      <c r="D59" t="s">
        <v>14</v>
      </c>
      <c r="E59" t="s">
        <v>15</v>
      </c>
      <c r="F59" s="1">
        <v>126918.25</v>
      </c>
      <c r="H59" s="1">
        <v>107479.46</v>
      </c>
      <c r="J59" s="1">
        <v>87530.4</v>
      </c>
      <c r="L59" s="1">
        <v>87427.06</v>
      </c>
      <c r="N59" s="1">
        <v>85652.7</v>
      </c>
      <c r="P59" s="1">
        <f t="shared" si="0"/>
        <v>495007.87</v>
      </c>
    </row>
    <row r="60" spans="1:16" x14ac:dyDescent="0.25">
      <c r="A60" t="s">
        <v>11</v>
      </c>
      <c r="B60" t="s">
        <v>57</v>
      </c>
      <c r="C60" t="s">
        <v>25</v>
      </c>
      <c r="D60" t="s">
        <v>14</v>
      </c>
      <c r="E60" t="s">
        <v>15</v>
      </c>
      <c r="F60" s="1">
        <v>0</v>
      </c>
      <c r="G60" t="s">
        <v>19</v>
      </c>
      <c r="H60" s="1">
        <v>59133.1</v>
      </c>
      <c r="J60" s="1">
        <v>51658.37</v>
      </c>
      <c r="L60" s="1">
        <v>38968.18</v>
      </c>
      <c r="N60" s="1">
        <v>42293.74</v>
      </c>
      <c r="P60" s="1">
        <f t="shared" si="0"/>
        <v>192053.38999999998</v>
      </c>
    </row>
    <row r="61" spans="1:16" x14ac:dyDescent="0.25">
      <c r="A61" t="s">
        <v>11</v>
      </c>
      <c r="B61" t="s">
        <v>57</v>
      </c>
      <c r="C61" t="s">
        <v>28</v>
      </c>
      <c r="D61" t="s">
        <v>14</v>
      </c>
      <c r="E61" t="s">
        <v>15</v>
      </c>
      <c r="F61" s="1">
        <v>0</v>
      </c>
      <c r="G61" t="s">
        <v>19</v>
      </c>
      <c r="H61" s="1">
        <v>7768.56</v>
      </c>
      <c r="J61" s="1">
        <v>12030.45</v>
      </c>
      <c r="L61" s="1">
        <v>16177.11</v>
      </c>
      <c r="N61" s="1">
        <v>4690.3999999999996</v>
      </c>
      <c r="P61" s="1">
        <f t="shared" si="0"/>
        <v>40666.520000000004</v>
      </c>
    </row>
    <row r="62" spans="1:16" x14ac:dyDescent="0.25">
      <c r="A62" t="s">
        <v>11</v>
      </c>
      <c r="B62" t="s">
        <v>58</v>
      </c>
      <c r="C62" t="s">
        <v>25</v>
      </c>
      <c r="D62" t="s">
        <v>14</v>
      </c>
      <c r="E62" t="s">
        <v>15</v>
      </c>
      <c r="F62" s="1">
        <v>5000</v>
      </c>
      <c r="G62" t="s">
        <v>33</v>
      </c>
      <c r="H62" s="1">
        <v>7485.91</v>
      </c>
      <c r="J62" s="1">
        <v>4444.1400000000003</v>
      </c>
      <c r="L62" s="1">
        <v>2493.9499999999998</v>
      </c>
      <c r="N62" s="1">
        <v>12663.71</v>
      </c>
      <c r="P62" s="1">
        <f t="shared" si="0"/>
        <v>32087.71</v>
      </c>
    </row>
    <row r="63" spans="1:16" x14ac:dyDescent="0.25">
      <c r="A63" t="s">
        <v>11</v>
      </c>
      <c r="B63" t="s">
        <v>58</v>
      </c>
      <c r="C63" t="s">
        <v>28</v>
      </c>
      <c r="D63" t="s">
        <v>14</v>
      </c>
      <c r="E63" t="s">
        <v>15</v>
      </c>
      <c r="F63" s="1">
        <v>4106.0600000000004</v>
      </c>
      <c r="H63" s="1">
        <v>6346.92</v>
      </c>
      <c r="J63" s="1">
        <v>4679.2700000000004</v>
      </c>
      <c r="L63" s="1">
        <v>6366.99</v>
      </c>
      <c r="N63" s="1">
        <v>7654.74</v>
      </c>
      <c r="P63" s="1">
        <f t="shared" si="0"/>
        <v>29153.979999999996</v>
      </c>
    </row>
    <row r="64" spans="1:16" x14ac:dyDescent="0.25">
      <c r="A64" t="s">
        <v>11</v>
      </c>
      <c r="B64" t="s">
        <v>59</v>
      </c>
      <c r="C64" t="s">
        <v>13</v>
      </c>
      <c r="D64" t="s">
        <v>14</v>
      </c>
      <c r="E64" t="s">
        <v>15</v>
      </c>
      <c r="F64" s="1">
        <v>1232.8499999999999</v>
      </c>
      <c r="H64" s="1">
        <v>4314.3</v>
      </c>
      <c r="J64" s="1">
        <v>9260.1</v>
      </c>
      <c r="L64" s="1">
        <v>8643.1200000000008</v>
      </c>
      <c r="N64" s="1">
        <v>4750.74</v>
      </c>
      <c r="P64" s="1">
        <f t="shared" si="0"/>
        <v>28201.11</v>
      </c>
    </row>
    <row r="65" spans="1:16" x14ac:dyDescent="0.25">
      <c r="A65" t="s">
        <v>11</v>
      </c>
      <c r="B65" t="s">
        <v>60</v>
      </c>
      <c r="C65" t="s">
        <v>25</v>
      </c>
      <c r="D65" t="s">
        <v>14</v>
      </c>
      <c r="E65" t="s">
        <v>15</v>
      </c>
      <c r="F65" s="1">
        <v>0</v>
      </c>
      <c r="G65" t="s">
        <v>19</v>
      </c>
      <c r="H65" s="1">
        <v>12511</v>
      </c>
      <c r="J65" s="1">
        <v>20863.93</v>
      </c>
      <c r="L65" s="1">
        <v>14239.37</v>
      </c>
      <c r="N65" s="1">
        <v>20310.3</v>
      </c>
      <c r="P65" s="1">
        <f t="shared" si="0"/>
        <v>67924.600000000006</v>
      </c>
    </row>
    <row r="66" spans="1:16" x14ac:dyDescent="0.25">
      <c r="A66" t="s">
        <v>11</v>
      </c>
      <c r="B66" t="s">
        <v>60</v>
      </c>
      <c r="C66" t="s">
        <v>28</v>
      </c>
      <c r="D66" t="s">
        <v>14</v>
      </c>
      <c r="E66" t="s">
        <v>15</v>
      </c>
      <c r="F66" s="1">
        <v>0</v>
      </c>
      <c r="G66" t="s">
        <v>19</v>
      </c>
      <c r="H66" s="1">
        <v>63106.73</v>
      </c>
      <c r="J66" s="1">
        <v>38606.07</v>
      </c>
      <c r="L66" s="1">
        <v>44511.54</v>
      </c>
      <c r="N66" s="1">
        <v>30520.1</v>
      </c>
      <c r="P66" s="1">
        <f t="shared" si="0"/>
        <v>176744.44</v>
      </c>
    </row>
    <row r="67" spans="1:16" x14ac:dyDescent="0.25">
      <c r="A67" t="s">
        <v>11</v>
      </c>
      <c r="B67" t="s">
        <v>61</v>
      </c>
      <c r="C67" t="s">
        <v>25</v>
      </c>
      <c r="D67" t="s">
        <v>14</v>
      </c>
      <c r="E67" t="s">
        <v>15</v>
      </c>
      <c r="F67" s="1">
        <v>0</v>
      </c>
      <c r="G67" t="s">
        <v>19</v>
      </c>
      <c r="H67" s="1">
        <v>1301.05</v>
      </c>
      <c r="J67" s="1">
        <v>898</v>
      </c>
      <c r="L67" s="1">
        <v>1506.41</v>
      </c>
      <c r="N67" s="1">
        <v>1571.01</v>
      </c>
      <c r="P67" s="1">
        <f t="shared" ref="P67:P130" si="1">SUM(F67,H67,J67,L67,N67)</f>
        <v>5276.47</v>
      </c>
    </row>
    <row r="68" spans="1:16" x14ac:dyDescent="0.25">
      <c r="A68" t="s">
        <v>11</v>
      </c>
      <c r="B68" t="s">
        <v>61</v>
      </c>
      <c r="C68" t="s">
        <v>28</v>
      </c>
      <c r="D68" t="s">
        <v>14</v>
      </c>
      <c r="E68" t="s">
        <v>15</v>
      </c>
      <c r="F68" s="1">
        <v>0</v>
      </c>
      <c r="G68" t="s">
        <v>19</v>
      </c>
      <c r="H68" s="1">
        <v>107.02</v>
      </c>
      <c r="J68" s="1">
        <v>414.72</v>
      </c>
      <c r="L68" s="1">
        <v>370.41</v>
      </c>
      <c r="N68" s="1">
        <v>216.71</v>
      </c>
      <c r="P68" s="1">
        <f t="shared" si="1"/>
        <v>1108.8600000000001</v>
      </c>
    </row>
    <row r="69" spans="1:16" x14ac:dyDescent="0.25">
      <c r="A69" t="s">
        <v>11</v>
      </c>
      <c r="B69" t="s">
        <v>62</v>
      </c>
      <c r="C69" t="s">
        <v>25</v>
      </c>
      <c r="D69" t="s">
        <v>14</v>
      </c>
      <c r="E69" t="s">
        <v>15</v>
      </c>
      <c r="F69" s="1">
        <v>0</v>
      </c>
      <c r="G69" t="s">
        <v>19</v>
      </c>
      <c r="H69" s="1">
        <v>82731.61</v>
      </c>
      <c r="J69" s="1">
        <v>55069.71</v>
      </c>
      <c r="L69" s="1">
        <v>41431.160000000003</v>
      </c>
      <c r="N69" s="1">
        <v>40348.97</v>
      </c>
      <c r="P69" s="1">
        <f t="shared" si="1"/>
        <v>219581.45</v>
      </c>
    </row>
    <row r="70" spans="1:16" x14ac:dyDescent="0.25">
      <c r="A70" t="s">
        <v>11</v>
      </c>
      <c r="B70" t="s">
        <v>62</v>
      </c>
      <c r="C70" t="s">
        <v>28</v>
      </c>
      <c r="D70" t="s">
        <v>14</v>
      </c>
      <c r="E70" t="s">
        <v>15</v>
      </c>
      <c r="F70" s="1">
        <v>0</v>
      </c>
      <c r="G70" t="s">
        <v>19</v>
      </c>
      <c r="H70" s="1">
        <v>148807.60999999999</v>
      </c>
      <c r="J70" s="1">
        <v>166378.53</v>
      </c>
      <c r="L70" s="1">
        <v>156832.78</v>
      </c>
      <c r="N70" s="1">
        <v>152829.41</v>
      </c>
      <c r="P70" s="1">
        <f t="shared" si="1"/>
        <v>624848.33000000007</v>
      </c>
    </row>
    <row r="71" spans="1:16" x14ac:dyDescent="0.25">
      <c r="A71" t="s">
        <v>11</v>
      </c>
      <c r="B71" t="s">
        <v>63</v>
      </c>
      <c r="C71" t="s">
        <v>25</v>
      </c>
      <c r="D71" t="s">
        <v>14</v>
      </c>
      <c r="E71" t="s">
        <v>15</v>
      </c>
      <c r="F71" s="1">
        <v>0</v>
      </c>
      <c r="G71" t="s">
        <v>19</v>
      </c>
      <c r="H71" s="1">
        <v>0</v>
      </c>
      <c r="I71" t="s">
        <v>19</v>
      </c>
      <c r="J71" s="1">
        <v>0</v>
      </c>
      <c r="K71" t="s">
        <v>19</v>
      </c>
      <c r="L71" s="1">
        <v>8.99</v>
      </c>
      <c r="N71" s="1">
        <v>0</v>
      </c>
      <c r="O71" t="s">
        <v>19</v>
      </c>
      <c r="P71" s="1">
        <f t="shared" si="1"/>
        <v>8.99</v>
      </c>
    </row>
    <row r="72" spans="1:16" x14ac:dyDescent="0.25">
      <c r="A72" t="s">
        <v>11</v>
      </c>
      <c r="B72" t="s">
        <v>64</v>
      </c>
      <c r="C72" t="s">
        <v>25</v>
      </c>
      <c r="D72" t="s">
        <v>14</v>
      </c>
      <c r="E72" t="s">
        <v>15</v>
      </c>
      <c r="F72" s="1">
        <v>3021.13</v>
      </c>
      <c r="H72" s="1">
        <v>2495.9299999999998</v>
      </c>
      <c r="J72" s="1">
        <v>2934.48</v>
      </c>
      <c r="L72" s="1">
        <v>2949.28</v>
      </c>
      <c r="N72" s="1">
        <v>3378.73</v>
      </c>
      <c r="P72" s="1">
        <f t="shared" si="1"/>
        <v>14779.55</v>
      </c>
    </row>
    <row r="73" spans="1:16" x14ac:dyDescent="0.25">
      <c r="A73" t="s">
        <v>11</v>
      </c>
      <c r="B73" t="s">
        <v>64</v>
      </c>
      <c r="C73" t="s">
        <v>28</v>
      </c>
      <c r="D73" t="s">
        <v>14</v>
      </c>
      <c r="E73" t="s">
        <v>15</v>
      </c>
      <c r="F73" s="1">
        <v>12126.3</v>
      </c>
      <c r="H73" s="1">
        <v>12770.78</v>
      </c>
      <c r="J73" s="1">
        <v>14399.57</v>
      </c>
      <c r="L73" s="1">
        <v>23094.69</v>
      </c>
      <c r="N73" s="1">
        <v>22001.25</v>
      </c>
      <c r="P73" s="1">
        <f t="shared" si="1"/>
        <v>84392.59</v>
      </c>
    </row>
    <row r="74" spans="1:16" x14ac:dyDescent="0.25">
      <c r="A74" t="s">
        <v>11</v>
      </c>
      <c r="B74" t="s">
        <v>65</v>
      </c>
      <c r="C74" t="s">
        <v>13</v>
      </c>
      <c r="D74" t="s">
        <v>14</v>
      </c>
      <c r="E74" t="s">
        <v>15</v>
      </c>
      <c r="F74" s="1">
        <v>0</v>
      </c>
      <c r="G74" t="s">
        <v>19</v>
      </c>
      <c r="H74" s="1">
        <v>318.82</v>
      </c>
      <c r="J74" s="1">
        <v>475.97</v>
      </c>
      <c r="L74" s="1">
        <v>846.33</v>
      </c>
      <c r="N74" s="1">
        <v>410.96</v>
      </c>
      <c r="P74" s="1">
        <f t="shared" si="1"/>
        <v>2052.08</v>
      </c>
    </row>
    <row r="75" spans="1:16" x14ac:dyDescent="0.25">
      <c r="A75" t="s">
        <v>11</v>
      </c>
      <c r="B75" t="s">
        <v>66</v>
      </c>
      <c r="C75" t="s">
        <v>13</v>
      </c>
      <c r="D75" t="s">
        <v>14</v>
      </c>
      <c r="E75" t="s">
        <v>15</v>
      </c>
      <c r="F75" s="1">
        <v>0</v>
      </c>
      <c r="G75" t="s">
        <v>19</v>
      </c>
      <c r="H75" s="1">
        <v>792.96</v>
      </c>
      <c r="J75" s="1">
        <v>185.1</v>
      </c>
      <c r="L75" s="1">
        <v>1.77</v>
      </c>
      <c r="N75" s="1">
        <v>0.93</v>
      </c>
      <c r="P75" s="1">
        <f t="shared" si="1"/>
        <v>980.76</v>
      </c>
    </row>
    <row r="76" spans="1:16" x14ac:dyDescent="0.25">
      <c r="A76" t="s">
        <v>11</v>
      </c>
      <c r="B76" t="s">
        <v>67</v>
      </c>
      <c r="C76" t="s">
        <v>25</v>
      </c>
      <c r="D76" t="s">
        <v>14</v>
      </c>
      <c r="E76" t="s">
        <v>15</v>
      </c>
      <c r="F76" s="1">
        <v>0</v>
      </c>
      <c r="G76" t="s">
        <v>19</v>
      </c>
      <c r="H76" s="1">
        <v>91.03</v>
      </c>
      <c r="J76" s="1">
        <v>11.9</v>
      </c>
      <c r="L76" s="1">
        <v>33.08</v>
      </c>
      <c r="N76" s="1">
        <v>64.41</v>
      </c>
      <c r="P76" s="1">
        <f t="shared" si="1"/>
        <v>200.42</v>
      </c>
    </row>
    <row r="77" spans="1:16" x14ac:dyDescent="0.25">
      <c r="A77" t="s">
        <v>11</v>
      </c>
      <c r="B77" t="s">
        <v>67</v>
      </c>
      <c r="C77" t="s">
        <v>28</v>
      </c>
      <c r="D77" t="s">
        <v>14</v>
      </c>
      <c r="E77" t="s">
        <v>15</v>
      </c>
      <c r="F77" s="1">
        <v>0</v>
      </c>
      <c r="G77" t="s">
        <v>19</v>
      </c>
      <c r="H77" s="1">
        <v>1809.94</v>
      </c>
      <c r="J77" s="1">
        <v>90.08</v>
      </c>
      <c r="L77" s="1">
        <v>6275.27</v>
      </c>
      <c r="N77" s="1">
        <v>5712.37</v>
      </c>
      <c r="P77" s="1">
        <f t="shared" si="1"/>
        <v>13887.66</v>
      </c>
    </row>
    <row r="78" spans="1:16" x14ac:dyDescent="0.25">
      <c r="A78" t="s">
        <v>11</v>
      </c>
      <c r="B78" t="s">
        <v>68</v>
      </c>
      <c r="C78" t="s">
        <v>13</v>
      </c>
      <c r="D78" t="s">
        <v>14</v>
      </c>
      <c r="E78" t="s">
        <v>15</v>
      </c>
      <c r="F78" s="1">
        <v>0</v>
      </c>
      <c r="G78" t="s">
        <v>19</v>
      </c>
      <c r="H78" s="1">
        <v>477.93</v>
      </c>
      <c r="J78" s="1">
        <v>482.97</v>
      </c>
      <c r="L78" s="1">
        <v>422.17</v>
      </c>
      <c r="N78" s="1">
        <v>1210.78</v>
      </c>
      <c r="P78" s="1">
        <f t="shared" si="1"/>
        <v>2593.8500000000004</v>
      </c>
    </row>
    <row r="79" spans="1:16" x14ac:dyDescent="0.25">
      <c r="A79" t="s">
        <v>11</v>
      </c>
      <c r="B79" t="s">
        <v>69</v>
      </c>
      <c r="C79" t="s">
        <v>13</v>
      </c>
      <c r="D79" t="s">
        <v>14</v>
      </c>
      <c r="E79" t="s">
        <v>15</v>
      </c>
      <c r="F79" s="1">
        <v>456.73</v>
      </c>
      <c r="H79" s="1">
        <v>1285.8900000000001</v>
      </c>
      <c r="J79" s="1">
        <v>1196.8800000000001</v>
      </c>
      <c r="L79" s="1">
        <v>864.27</v>
      </c>
      <c r="N79" s="1">
        <v>1260.27</v>
      </c>
      <c r="P79" s="1">
        <f t="shared" si="1"/>
        <v>5064.04</v>
      </c>
    </row>
    <row r="80" spans="1:16" x14ac:dyDescent="0.25">
      <c r="A80" t="s">
        <v>11</v>
      </c>
      <c r="B80" t="s">
        <v>70</v>
      </c>
      <c r="C80" t="s">
        <v>13</v>
      </c>
      <c r="D80" t="s">
        <v>14</v>
      </c>
      <c r="E80" t="s">
        <v>15</v>
      </c>
      <c r="F80" s="1">
        <v>43093.94</v>
      </c>
      <c r="H80" s="1">
        <v>32491.8</v>
      </c>
      <c r="J80" s="1">
        <v>29016.1</v>
      </c>
      <c r="L80" s="1">
        <v>26540.639999999999</v>
      </c>
      <c r="N80" s="1">
        <v>24446.92</v>
      </c>
      <c r="P80" s="1">
        <f t="shared" si="1"/>
        <v>155589.39999999997</v>
      </c>
    </row>
    <row r="81" spans="1:16" x14ac:dyDescent="0.25">
      <c r="A81" t="s">
        <v>11</v>
      </c>
      <c r="B81" t="s">
        <v>71</v>
      </c>
      <c r="C81" t="s">
        <v>13</v>
      </c>
      <c r="D81" t="s">
        <v>14</v>
      </c>
      <c r="E81" t="s">
        <v>15</v>
      </c>
      <c r="F81" s="1">
        <v>7.06</v>
      </c>
      <c r="H81" s="1">
        <v>13.06</v>
      </c>
      <c r="J81" s="1">
        <v>9.6999999999999993</v>
      </c>
      <c r="L81" s="1">
        <v>10.6</v>
      </c>
      <c r="N81" s="1">
        <v>16.12</v>
      </c>
      <c r="P81" s="1">
        <f t="shared" si="1"/>
        <v>56.540000000000006</v>
      </c>
    </row>
    <row r="82" spans="1:16" x14ac:dyDescent="0.25">
      <c r="A82" t="s">
        <v>11</v>
      </c>
      <c r="B82" t="s">
        <v>73</v>
      </c>
      <c r="C82" t="s">
        <v>25</v>
      </c>
      <c r="D82" t="s">
        <v>14</v>
      </c>
      <c r="E82" t="s">
        <v>15</v>
      </c>
      <c r="F82" s="1">
        <v>0</v>
      </c>
      <c r="G82" t="s">
        <v>19</v>
      </c>
      <c r="H82" s="1">
        <v>788.09</v>
      </c>
      <c r="J82" s="1">
        <v>500.93</v>
      </c>
      <c r="L82" s="1">
        <v>1491.88</v>
      </c>
      <c r="N82" s="1">
        <v>993.98</v>
      </c>
      <c r="P82" s="1">
        <f t="shared" si="1"/>
        <v>3774.88</v>
      </c>
    </row>
    <row r="83" spans="1:16" x14ac:dyDescent="0.25">
      <c r="A83" t="s">
        <v>11</v>
      </c>
      <c r="B83" t="s">
        <v>73</v>
      </c>
      <c r="C83" t="s">
        <v>28</v>
      </c>
      <c r="D83" t="s">
        <v>14</v>
      </c>
      <c r="E83" t="s">
        <v>15</v>
      </c>
      <c r="F83" s="1">
        <v>0</v>
      </c>
      <c r="G83" t="s">
        <v>19</v>
      </c>
      <c r="H83" s="1">
        <v>1062.94</v>
      </c>
      <c r="J83" s="1">
        <v>1121.94</v>
      </c>
      <c r="L83" s="1">
        <v>1810.79</v>
      </c>
      <c r="N83" s="1">
        <v>1241.8</v>
      </c>
      <c r="P83" s="1">
        <f t="shared" si="1"/>
        <v>5237.47</v>
      </c>
    </row>
    <row r="84" spans="1:16" x14ac:dyDescent="0.25">
      <c r="A84" t="s">
        <v>11</v>
      </c>
      <c r="B84" t="s">
        <v>75</v>
      </c>
      <c r="C84" t="s">
        <v>13</v>
      </c>
      <c r="D84" t="s">
        <v>14</v>
      </c>
      <c r="E84" t="s">
        <v>15</v>
      </c>
      <c r="F84" s="1">
        <v>21988.9</v>
      </c>
      <c r="H84" s="1">
        <v>28992.35</v>
      </c>
      <c r="J84" s="1">
        <v>13247.55</v>
      </c>
      <c r="L84" s="1">
        <v>11918.67</v>
      </c>
      <c r="N84" s="1">
        <v>10609.59</v>
      </c>
      <c r="P84" s="1">
        <f t="shared" si="1"/>
        <v>86757.06</v>
      </c>
    </row>
    <row r="85" spans="1:16" x14ac:dyDescent="0.25">
      <c r="A85" t="s">
        <v>11</v>
      </c>
      <c r="B85" t="s">
        <v>76</v>
      </c>
      <c r="C85" t="s">
        <v>25</v>
      </c>
      <c r="D85" t="s">
        <v>14</v>
      </c>
      <c r="E85" t="s">
        <v>15</v>
      </c>
      <c r="F85" s="1">
        <v>2832.43</v>
      </c>
      <c r="H85" s="1">
        <v>6578.06</v>
      </c>
      <c r="J85" s="1">
        <v>5484.19</v>
      </c>
      <c r="L85" s="1">
        <v>5593.75</v>
      </c>
      <c r="N85" s="1">
        <v>5122.34</v>
      </c>
      <c r="P85" s="1">
        <f t="shared" si="1"/>
        <v>25610.77</v>
      </c>
    </row>
    <row r="86" spans="1:16" x14ac:dyDescent="0.25">
      <c r="A86" t="s">
        <v>11</v>
      </c>
      <c r="B86" t="s">
        <v>76</v>
      </c>
      <c r="C86" t="s">
        <v>28</v>
      </c>
      <c r="D86" t="s">
        <v>14</v>
      </c>
      <c r="E86" t="s">
        <v>15</v>
      </c>
      <c r="F86" s="1">
        <v>12201.41</v>
      </c>
      <c r="H86" s="1">
        <v>13324</v>
      </c>
      <c r="J86" s="1">
        <v>12891.45</v>
      </c>
      <c r="L86" s="1">
        <v>12839.26</v>
      </c>
      <c r="N86" s="1">
        <v>13268.63</v>
      </c>
      <c r="P86" s="1">
        <f t="shared" si="1"/>
        <v>64524.75</v>
      </c>
    </row>
    <row r="87" spans="1:16" x14ac:dyDescent="0.25">
      <c r="A87" t="s">
        <v>11</v>
      </c>
      <c r="B87" t="s">
        <v>77</v>
      </c>
      <c r="C87" t="s">
        <v>25</v>
      </c>
      <c r="D87" t="s">
        <v>14</v>
      </c>
      <c r="E87" t="s">
        <v>15</v>
      </c>
      <c r="F87" s="1">
        <v>98428.19</v>
      </c>
      <c r="H87" s="1">
        <v>45537.4</v>
      </c>
      <c r="J87" s="1">
        <v>40066.79</v>
      </c>
      <c r="L87" s="1">
        <v>25060.35</v>
      </c>
      <c r="N87" s="1">
        <v>25734.07</v>
      </c>
      <c r="P87" s="1">
        <f t="shared" si="1"/>
        <v>234826.80000000002</v>
      </c>
    </row>
    <row r="88" spans="1:16" x14ac:dyDescent="0.25">
      <c r="A88" t="s">
        <v>11</v>
      </c>
      <c r="B88" t="s">
        <v>77</v>
      </c>
      <c r="C88" t="s">
        <v>28</v>
      </c>
      <c r="D88" t="s">
        <v>14</v>
      </c>
      <c r="E88" t="s">
        <v>15</v>
      </c>
      <c r="F88" s="1">
        <v>119866.93</v>
      </c>
      <c r="H88" s="1">
        <v>148761.64000000001</v>
      </c>
      <c r="J88" s="1">
        <v>153517.04999999999</v>
      </c>
      <c r="L88" s="1">
        <v>179277.37</v>
      </c>
      <c r="N88" s="1">
        <v>162990.44</v>
      </c>
      <c r="P88" s="1">
        <f t="shared" si="1"/>
        <v>764413.42999999993</v>
      </c>
    </row>
    <row r="89" spans="1:16" x14ac:dyDescent="0.25">
      <c r="A89" t="s">
        <v>11</v>
      </c>
      <c r="B89" t="s">
        <v>78</v>
      </c>
      <c r="C89" t="s">
        <v>13</v>
      </c>
      <c r="D89" t="s">
        <v>14</v>
      </c>
      <c r="E89" t="s">
        <v>15</v>
      </c>
      <c r="F89" s="1">
        <v>0</v>
      </c>
      <c r="G89" t="s">
        <v>19</v>
      </c>
      <c r="H89" s="1">
        <v>432.93</v>
      </c>
      <c r="J89" s="1">
        <v>656.16</v>
      </c>
      <c r="L89" s="1">
        <v>661.36</v>
      </c>
      <c r="N89" s="1">
        <v>797.19</v>
      </c>
      <c r="P89" s="1">
        <f t="shared" si="1"/>
        <v>2547.64</v>
      </c>
    </row>
    <row r="90" spans="1:16" x14ac:dyDescent="0.25">
      <c r="A90" t="s">
        <v>11</v>
      </c>
      <c r="B90" t="s">
        <v>78</v>
      </c>
      <c r="C90" t="s">
        <v>25</v>
      </c>
      <c r="D90" t="s">
        <v>14</v>
      </c>
      <c r="E90" t="s">
        <v>15</v>
      </c>
      <c r="F90" s="1">
        <v>19982.88</v>
      </c>
      <c r="H90" s="1">
        <v>3945.13</v>
      </c>
      <c r="J90" s="1">
        <v>5505.56</v>
      </c>
      <c r="L90" s="1">
        <v>6018.56</v>
      </c>
      <c r="N90" s="1">
        <v>6060.13</v>
      </c>
      <c r="P90" s="1">
        <f t="shared" si="1"/>
        <v>41512.26</v>
      </c>
    </row>
    <row r="91" spans="1:16" x14ac:dyDescent="0.25">
      <c r="A91" t="s">
        <v>11</v>
      </c>
      <c r="B91" t="s">
        <v>78</v>
      </c>
      <c r="C91" t="s">
        <v>28</v>
      </c>
      <c r="D91" t="s">
        <v>14</v>
      </c>
      <c r="E91" t="s">
        <v>15</v>
      </c>
      <c r="F91" s="1">
        <v>38228.42</v>
      </c>
      <c r="H91" s="1">
        <v>18750.84</v>
      </c>
      <c r="J91" s="1">
        <v>18031.21</v>
      </c>
      <c r="L91" s="1">
        <v>31704.84</v>
      </c>
      <c r="N91" s="1">
        <v>43670.38</v>
      </c>
      <c r="P91" s="1">
        <f t="shared" si="1"/>
        <v>150385.69</v>
      </c>
    </row>
    <row r="92" spans="1:16" x14ac:dyDescent="0.25">
      <c r="A92" t="s">
        <v>11</v>
      </c>
      <c r="B92" t="s">
        <v>79</v>
      </c>
      <c r="C92" t="s">
        <v>25</v>
      </c>
      <c r="D92" t="s">
        <v>14</v>
      </c>
      <c r="E92" t="s">
        <v>15</v>
      </c>
      <c r="F92" s="1">
        <v>80.28</v>
      </c>
      <c r="H92" s="1">
        <v>80.67</v>
      </c>
      <c r="J92" s="1">
        <v>25.36</v>
      </c>
      <c r="L92" s="1">
        <v>265.33</v>
      </c>
      <c r="N92" s="1">
        <v>240.97</v>
      </c>
      <c r="P92" s="1">
        <f t="shared" si="1"/>
        <v>692.61</v>
      </c>
    </row>
    <row r="93" spans="1:16" x14ac:dyDescent="0.25">
      <c r="A93" t="s">
        <v>11</v>
      </c>
      <c r="B93" t="s">
        <v>79</v>
      </c>
      <c r="C93" t="s">
        <v>28</v>
      </c>
      <c r="D93" t="s">
        <v>14</v>
      </c>
      <c r="E93" t="s">
        <v>15</v>
      </c>
      <c r="F93" s="1">
        <v>3431.34</v>
      </c>
      <c r="H93" s="1">
        <v>177.35</v>
      </c>
      <c r="J93" s="1">
        <v>276.77</v>
      </c>
      <c r="L93" s="1">
        <v>600.32000000000005</v>
      </c>
      <c r="N93" s="1">
        <v>367.81</v>
      </c>
      <c r="P93" s="1">
        <f t="shared" si="1"/>
        <v>4853.59</v>
      </c>
    </row>
    <row r="94" spans="1:16" x14ac:dyDescent="0.25">
      <c r="A94" t="s">
        <v>11</v>
      </c>
      <c r="B94" t="s">
        <v>80</v>
      </c>
      <c r="C94" t="s">
        <v>25</v>
      </c>
      <c r="D94" t="s">
        <v>14</v>
      </c>
      <c r="E94" t="s">
        <v>15</v>
      </c>
      <c r="F94" s="1">
        <v>5846.33</v>
      </c>
      <c r="H94" s="1">
        <v>4669.4799999999996</v>
      </c>
      <c r="J94" s="1">
        <v>3820.58</v>
      </c>
      <c r="L94" s="1">
        <v>3444.97</v>
      </c>
      <c r="N94" s="1">
        <v>3320.91</v>
      </c>
      <c r="P94" s="1">
        <f t="shared" si="1"/>
        <v>21102.27</v>
      </c>
    </row>
    <row r="95" spans="1:16" x14ac:dyDescent="0.25">
      <c r="A95" t="s">
        <v>11</v>
      </c>
      <c r="B95" t="s">
        <v>80</v>
      </c>
      <c r="C95" t="s">
        <v>28</v>
      </c>
      <c r="D95" t="s">
        <v>14</v>
      </c>
      <c r="E95" t="s">
        <v>15</v>
      </c>
      <c r="F95" s="1">
        <v>9670.67</v>
      </c>
      <c r="H95" s="1">
        <v>15977.53</v>
      </c>
      <c r="J95" s="1">
        <v>13775.71</v>
      </c>
      <c r="L95" s="1">
        <v>22123.96</v>
      </c>
      <c r="N95" s="1">
        <v>16832.98</v>
      </c>
      <c r="P95" s="1">
        <f t="shared" si="1"/>
        <v>78380.850000000006</v>
      </c>
    </row>
    <row r="96" spans="1:16" x14ac:dyDescent="0.25">
      <c r="A96" t="s">
        <v>11</v>
      </c>
      <c r="B96" t="s">
        <v>81</v>
      </c>
      <c r="C96" t="s">
        <v>13</v>
      </c>
      <c r="D96" t="s">
        <v>14</v>
      </c>
      <c r="E96" t="s">
        <v>15</v>
      </c>
      <c r="F96" s="1">
        <v>148.85</v>
      </c>
      <c r="H96" s="1">
        <v>5243.41</v>
      </c>
      <c r="J96" s="1">
        <v>10847.28</v>
      </c>
      <c r="L96" s="1">
        <v>13083.73</v>
      </c>
      <c r="N96" s="1">
        <v>19526.650000000001</v>
      </c>
      <c r="P96" s="1">
        <f t="shared" si="1"/>
        <v>48849.919999999998</v>
      </c>
    </row>
    <row r="97" spans="1:16" x14ac:dyDescent="0.25">
      <c r="A97" t="s">
        <v>11</v>
      </c>
      <c r="B97" t="s">
        <v>82</v>
      </c>
      <c r="C97" t="s">
        <v>25</v>
      </c>
      <c r="D97" t="s">
        <v>14</v>
      </c>
      <c r="E97" t="s">
        <v>15</v>
      </c>
      <c r="F97" s="1">
        <v>0</v>
      </c>
      <c r="G97" t="s">
        <v>19</v>
      </c>
      <c r="H97" s="1">
        <v>59.77</v>
      </c>
      <c r="J97" s="1">
        <v>161.44999999999999</v>
      </c>
      <c r="L97" s="1">
        <v>28.72</v>
      </c>
      <c r="N97" s="1">
        <v>22.34</v>
      </c>
      <c r="P97" s="1">
        <f t="shared" si="1"/>
        <v>272.27999999999997</v>
      </c>
    </row>
    <row r="98" spans="1:16" x14ac:dyDescent="0.25">
      <c r="A98" t="s">
        <v>11</v>
      </c>
      <c r="B98" t="s">
        <v>82</v>
      </c>
      <c r="C98" t="s">
        <v>28</v>
      </c>
      <c r="D98" t="s">
        <v>14</v>
      </c>
      <c r="E98" t="s">
        <v>15</v>
      </c>
      <c r="F98" s="1">
        <v>3656.71</v>
      </c>
      <c r="H98" s="1">
        <v>0</v>
      </c>
      <c r="I98" t="s">
        <v>19</v>
      </c>
      <c r="J98" s="1">
        <v>23.85</v>
      </c>
      <c r="L98" s="1">
        <v>36.21</v>
      </c>
      <c r="N98" s="1">
        <v>2845.66</v>
      </c>
      <c r="P98" s="1">
        <f t="shared" si="1"/>
        <v>6562.43</v>
      </c>
    </row>
    <row r="99" spans="1:16" x14ac:dyDescent="0.25">
      <c r="A99" t="s">
        <v>11</v>
      </c>
      <c r="B99" t="s">
        <v>83</v>
      </c>
      <c r="C99" t="s">
        <v>25</v>
      </c>
      <c r="D99" t="s">
        <v>14</v>
      </c>
      <c r="E99" t="s">
        <v>15</v>
      </c>
      <c r="F99" s="1">
        <v>468.26</v>
      </c>
      <c r="H99" s="1">
        <v>1106.72</v>
      </c>
      <c r="J99" s="1">
        <v>380.75</v>
      </c>
      <c r="L99" s="1">
        <v>229.47</v>
      </c>
      <c r="N99" s="1">
        <v>659.94</v>
      </c>
      <c r="P99" s="1">
        <f t="shared" si="1"/>
        <v>2845.14</v>
      </c>
    </row>
    <row r="100" spans="1:16" x14ac:dyDescent="0.25">
      <c r="A100" t="s">
        <v>11</v>
      </c>
      <c r="B100" t="s">
        <v>83</v>
      </c>
      <c r="C100" t="s">
        <v>28</v>
      </c>
      <c r="D100" t="s">
        <v>14</v>
      </c>
      <c r="E100" t="s">
        <v>15</v>
      </c>
      <c r="F100" s="1">
        <v>0</v>
      </c>
      <c r="G100" t="s">
        <v>19</v>
      </c>
      <c r="H100" s="1">
        <v>3188.95</v>
      </c>
      <c r="J100" s="1">
        <v>5864.04</v>
      </c>
      <c r="L100" s="1">
        <v>6113.94</v>
      </c>
      <c r="N100" s="1">
        <v>8161.8</v>
      </c>
      <c r="P100" s="1">
        <f t="shared" si="1"/>
        <v>23328.73</v>
      </c>
    </row>
    <row r="101" spans="1:16" x14ac:dyDescent="0.25">
      <c r="A101" t="s">
        <v>11</v>
      </c>
      <c r="B101" t="s">
        <v>84</v>
      </c>
      <c r="C101" t="s">
        <v>25</v>
      </c>
      <c r="D101" t="s">
        <v>14</v>
      </c>
      <c r="E101" t="s">
        <v>15</v>
      </c>
      <c r="F101" s="1">
        <v>620.37</v>
      </c>
      <c r="H101" s="1">
        <v>2450.4299999999998</v>
      </c>
      <c r="J101" s="1">
        <v>4460.79</v>
      </c>
      <c r="L101" s="1">
        <v>4567.8500000000004</v>
      </c>
      <c r="N101" s="1">
        <v>5766.76</v>
      </c>
      <c r="P101" s="1">
        <f t="shared" si="1"/>
        <v>17866.2</v>
      </c>
    </row>
    <row r="102" spans="1:16" x14ac:dyDescent="0.25">
      <c r="A102" t="s">
        <v>11</v>
      </c>
      <c r="B102" t="s">
        <v>84</v>
      </c>
      <c r="C102" t="s">
        <v>28</v>
      </c>
      <c r="D102" t="s">
        <v>14</v>
      </c>
      <c r="E102" t="s">
        <v>15</v>
      </c>
      <c r="F102" s="1">
        <v>8368.5</v>
      </c>
      <c r="H102" s="1">
        <v>6761.19</v>
      </c>
      <c r="J102" s="1">
        <v>6205.52</v>
      </c>
      <c r="L102" s="1">
        <v>5237.57</v>
      </c>
      <c r="N102" s="1">
        <v>8217.83</v>
      </c>
      <c r="P102" s="1">
        <f t="shared" si="1"/>
        <v>34790.61</v>
      </c>
    </row>
    <row r="103" spans="1:16" x14ac:dyDescent="0.25">
      <c r="A103" t="s">
        <v>11</v>
      </c>
      <c r="B103" t="s">
        <v>85</v>
      </c>
      <c r="C103" t="s">
        <v>25</v>
      </c>
      <c r="D103" t="s">
        <v>14</v>
      </c>
      <c r="E103" t="s">
        <v>15</v>
      </c>
      <c r="F103" s="1">
        <v>0</v>
      </c>
      <c r="G103" t="s">
        <v>19</v>
      </c>
      <c r="H103" s="1">
        <v>13.22</v>
      </c>
      <c r="J103" s="1">
        <v>17.62</v>
      </c>
      <c r="L103" s="1">
        <v>18.43</v>
      </c>
      <c r="N103" s="1">
        <v>18.11</v>
      </c>
      <c r="P103" s="1">
        <f t="shared" si="1"/>
        <v>67.38</v>
      </c>
    </row>
    <row r="104" spans="1:16" x14ac:dyDescent="0.25">
      <c r="A104" t="s">
        <v>11</v>
      </c>
      <c r="B104" t="s">
        <v>86</v>
      </c>
      <c r="C104" t="s">
        <v>13</v>
      </c>
      <c r="D104" t="s">
        <v>14</v>
      </c>
      <c r="E104" t="s">
        <v>15</v>
      </c>
      <c r="F104" s="1">
        <v>0</v>
      </c>
      <c r="G104" t="s">
        <v>19</v>
      </c>
      <c r="H104" s="1">
        <v>786.41</v>
      </c>
      <c r="J104" s="1">
        <v>823.97</v>
      </c>
      <c r="L104" s="1">
        <v>1284.04</v>
      </c>
      <c r="N104" s="1">
        <v>1059.82</v>
      </c>
      <c r="P104" s="1">
        <f t="shared" si="1"/>
        <v>3954.24</v>
      </c>
    </row>
    <row r="105" spans="1:16" x14ac:dyDescent="0.25">
      <c r="A105" t="s">
        <v>11</v>
      </c>
      <c r="B105" t="s">
        <v>86</v>
      </c>
      <c r="C105" t="s">
        <v>25</v>
      </c>
      <c r="D105" t="s">
        <v>14</v>
      </c>
      <c r="E105" t="s">
        <v>15</v>
      </c>
      <c r="F105" s="1">
        <v>0</v>
      </c>
      <c r="G105" t="s">
        <v>19</v>
      </c>
      <c r="H105" s="1">
        <v>3887.47</v>
      </c>
      <c r="J105" s="1">
        <v>2057.67</v>
      </c>
      <c r="L105" s="1">
        <v>5814.43</v>
      </c>
      <c r="N105" s="1">
        <v>6538.8</v>
      </c>
      <c r="P105" s="1">
        <f t="shared" si="1"/>
        <v>18298.37</v>
      </c>
    </row>
    <row r="106" spans="1:16" x14ac:dyDescent="0.25">
      <c r="A106" t="s">
        <v>11</v>
      </c>
      <c r="B106" t="s">
        <v>86</v>
      </c>
      <c r="C106" t="s">
        <v>28</v>
      </c>
      <c r="D106" t="s">
        <v>14</v>
      </c>
      <c r="E106" t="s">
        <v>15</v>
      </c>
      <c r="F106" s="1">
        <v>0</v>
      </c>
      <c r="G106" t="s">
        <v>19</v>
      </c>
      <c r="H106" s="1">
        <v>17162.47</v>
      </c>
      <c r="J106" s="1">
        <v>21280.59</v>
      </c>
      <c r="L106" s="1">
        <v>15170.35</v>
      </c>
      <c r="N106" s="1">
        <v>26383.4</v>
      </c>
      <c r="P106" s="1">
        <f t="shared" si="1"/>
        <v>79996.81</v>
      </c>
    </row>
    <row r="107" spans="1:16" x14ac:dyDescent="0.25">
      <c r="A107" t="s">
        <v>11</v>
      </c>
      <c r="B107" t="s">
        <v>87</v>
      </c>
      <c r="C107" t="s">
        <v>25</v>
      </c>
      <c r="D107" t="s">
        <v>14</v>
      </c>
      <c r="E107" t="s">
        <v>15</v>
      </c>
      <c r="F107" s="1">
        <v>14090.49</v>
      </c>
      <c r="H107" s="1">
        <v>593.04</v>
      </c>
      <c r="J107" s="1">
        <v>1423.18</v>
      </c>
      <c r="L107" s="1">
        <v>1299.06</v>
      </c>
      <c r="N107" s="1">
        <v>1292.9000000000001</v>
      </c>
      <c r="P107" s="1">
        <f t="shared" si="1"/>
        <v>18698.670000000002</v>
      </c>
    </row>
    <row r="108" spans="1:16" x14ac:dyDescent="0.25">
      <c r="A108" t="s">
        <v>11</v>
      </c>
      <c r="B108" t="s">
        <v>87</v>
      </c>
      <c r="C108" t="s">
        <v>28</v>
      </c>
      <c r="D108" t="s">
        <v>14</v>
      </c>
      <c r="E108" t="s">
        <v>15</v>
      </c>
      <c r="F108" s="1">
        <v>41546.42</v>
      </c>
      <c r="H108" s="1">
        <v>3817.16</v>
      </c>
      <c r="J108" s="1">
        <v>8149.16</v>
      </c>
      <c r="L108" s="1">
        <v>14689.36</v>
      </c>
      <c r="N108" s="1">
        <v>23496.81</v>
      </c>
      <c r="P108" s="1">
        <f t="shared" si="1"/>
        <v>91698.91</v>
      </c>
    </row>
    <row r="109" spans="1:16" x14ac:dyDescent="0.25">
      <c r="A109" t="s">
        <v>11</v>
      </c>
      <c r="B109" t="s">
        <v>88</v>
      </c>
      <c r="C109" t="s">
        <v>25</v>
      </c>
      <c r="D109" t="s">
        <v>14</v>
      </c>
      <c r="E109" t="s">
        <v>15</v>
      </c>
      <c r="F109" s="1">
        <v>0</v>
      </c>
      <c r="G109" t="s">
        <v>19</v>
      </c>
      <c r="H109" s="1">
        <v>0</v>
      </c>
      <c r="I109" t="s">
        <v>19</v>
      </c>
      <c r="J109" s="1">
        <v>25.8</v>
      </c>
      <c r="L109" s="1">
        <v>0</v>
      </c>
      <c r="M109" t="s">
        <v>19</v>
      </c>
      <c r="N109" s="1">
        <v>78</v>
      </c>
      <c r="P109" s="1">
        <f t="shared" si="1"/>
        <v>103.8</v>
      </c>
    </row>
    <row r="110" spans="1:16" x14ac:dyDescent="0.25">
      <c r="A110" t="s">
        <v>11</v>
      </c>
      <c r="B110" t="s">
        <v>89</v>
      </c>
      <c r="C110" t="s">
        <v>13</v>
      </c>
      <c r="D110" t="s">
        <v>90</v>
      </c>
      <c r="E110" t="s">
        <v>15</v>
      </c>
      <c r="F110" s="1">
        <v>6817</v>
      </c>
      <c r="H110" s="1">
        <v>5575</v>
      </c>
      <c r="J110" s="1">
        <v>2302</v>
      </c>
      <c r="L110" s="1">
        <v>3323</v>
      </c>
      <c r="N110" s="1">
        <v>2705</v>
      </c>
      <c r="P110" s="1">
        <f t="shared" si="1"/>
        <v>20722</v>
      </c>
    </row>
    <row r="111" spans="1:16" x14ac:dyDescent="0.25">
      <c r="A111" t="s">
        <v>11</v>
      </c>
      <c r="B111" t="s">
        <v>91</v>
      </c>
      <c r="C111" t="s">
        <v>25</v>
      </c>
      <c r="D111" t="s">
        <v>14</v>
      </c>
      <c r="E111" t="s">
        <v>15</v>
      </c>
      <c r="F111" s="1">
        <v>0.02</v>
      </c>
      <c r="H111" s="1">
        <v>0</v>
      </c>
      <c r="I111" t="s">
        <v>19</v>
      </c>
      <c r="J111" s="1">
        <v>0</v>
      </c>
      <c r="K111" t="s">
        <v>19</v>
      </c>
      <c r="L111" s="1">
        <v>0</v>
      </c>
      <c r="M111" t="s">
        <v>19</v>
      </c>
      <c r="N111" s="1">
        <v>0</v>
      </c>
      <c r="O111" t="s">
        <v>19</v>
      </c>
      <c r="P111" s="1">
        <f t="shared" si="1"/>
        <v>0.02</v>
      </c>
    </row>
    <row r="112" spans="1:16" x14ac:dyDescent="0.25">
      <c r="A112" t="s">
        <v>11</v>
      </c>
      <c r="B112" t="s">
        <v>91</v>
      </c>
      <c r="C112" t="s">
        <v>28</v>
      </c>
      <c r="D112" t="s">
        <v>14</v>
      </c>
      <c r="E112" t="s">
        <v>15</v>
      </c>
      <c r="F112" s="1">
        <v>95.64</v>
      </c>
      <c r="H112" s="1">
        <v>0</v>
      </c>
      <c r="I112" t="s">
        <v>19</v>
      </c>
      <c r="J112" s="1">
        <v>0</v>
      </c>
      <c r="K112" t="s">
        <v>19</v>
      </c>
      <c r="L112" s="1">
        <v>0</v>
      </c>
      <c r="M112" t="s">
        <v>19</v>
      </c>
      <c r="N112" s="1">
        <v>0</v>
      </c>
      <c r="O112" t="s">
        <v>19</v>
      </c>
      <c r="P112" s="1">
        <f t="shared" si="1"/>
        <v>95.64</v>
      </c>
    </row>
    <row r="113" spans="1:16" x14ac:dyDescent="0.25">
      <c r="A113" t="s">
        <v>11</v>
      </c>
      <c r="B113" t="s">
        <v>92</v>
      </c>
      <c r="C113" t="s">
        <v>13</v>
      </c>
      <c r="D113" t="s">
        <v>14</v>
      </c>
      <c r="E113" t="s">
        <v>15</v>
      </c>
      <c r="F113" s="1">
        <v>107.8</v>
      </c>
      <c r="H113" s="1">
        <v>238.06</v>
      </c>
      <c r="J113" s="1">
        <v>241.56</v>
      </c>
      <c r="L113" s="1">
        <v>583.32000000000005</v>
      </c>
      <c r="N113" s="1">
        <v>453.01</v>
      </c>
      <c r="P113" s="1">
        <f t="shared" si="1"/>
        <v>1623.7500000000002</v>
      </c>
    </row>
    <row r="114" spans="1:16" x14ac:dyDescent="0.25">
      <c r="A114" t="s">
        <v>11</v>
      </c>
      <c r="B114" t="s">
        <v>94</v>
      </c>
      <c r="C114" t="s">
        <v>25</v>
      </c>
      <c r="D114" t="s">
        <v>14</v>
      </c>
      <c r="E114" t="s">
        <v>15</v>
      </c>
      <c r="F114" s="1">
        <v>331.5</v>
      </c>
      <c r="H114" s="1">
        <v>7448</v>
      </c>
      <c r="J114" s="1">
        <v>11535.09</v>
      </c>
      <c r="L114" s="1">
        <v>6505.34</v>
      </c>
      <c r="N114" s="1">
        <v>3566.09</v>
      </c>
      <c r="P114" s="1">
        <f t="shared" si="1"/>
        <v>29386.02</v>
      </c>
    </row>
    <row r="115" spans="1:16" x14ac:dyDescent="0.25">
      <c r="A115" t="s">
        <v>11</v>
      </c>
      <c r="B115" t="s">
        <v>94</v>
      </c>
      <c r="C115" t="s">
        <v>28</v>
      </c>
      <c r="D115" t="s">
        <v>14</v>
      </c>
      <c r="E115" t="s">
        <v>15</v>
      </c>
      <c r="F115" s="1">
        <v>11086.57</v>
      </c>
      <c r="H115" s="1">
        <v>9951.51</v>
      </c>
      <c r="J115" s="1">
        <v>13893.28</v>
      </c>
      <c r="L115" s="1">
        <v>11938.78</v>
      </c>
      <c r="N115" s="1">
        <v>13725.77</v>
      </c>
      <c r="P115" s="1">
        <f t="shared" si="1"/>
        <v>60595.91</v>
      </c>
    </row>
    <row r="116" spans="1:16" x14ac:dyDescent="0.25">
      <c r="A116" t="s">
        <v>11</v>
      </c>
      <c r="B116" t="s">
        <v>95</v>
      </c>
      <c r="C116" t="s">
        <v>13</v>
      </c>
      <c r="D116" t="s">
        <v>14</v>
      </c>
      <c r="E116" t="s">
        <v>15</v>
      </c>
      <c r="F116" s="1">
        <v>0</v>
      </c>
      <c r="G116" t="s">
        <v>19</v>
      </c>
      <c r="H116" s="1">
        <v>594.20000000000005</v>
      </c>
      <c r="J116" s="1">
        <v>622.91</v>
      </c>
      <c r="L116" s="1">
        <v>582.98</v>
      </c>
      <c r="N116" s="1">
        <v>640.41999999999996</v>
      </c>
      <c r="P116" s="1">
        <f t="shared" si="1"/>
        <v>2440.5100000000002</v>
      </c>
    </row>
    <row r="117" spans="1:16" x14ac:dyDescent="0.25">
      <c r="A117" t="s">
        <v>11</v>
      </c>
      <c r="B117" t="s">
        <v>95</v>
      </c>
      <c r="C117" t="s">
        <v>25</v>
      </c>
      <c r="D117" t="s">
        <v>14</v>
      </c>
      <c r="E117" t="s">
        <v>15</v>
      </c>
      <c r="F117" s="1">
        <v>8896.42</v>
      </c>
      <c r="H117" s="1">
        <v>8919.2900000000009</v>
      </c>
      <c r="J117" s="1">
        <v>10225.94</v>
      </c>
      <c r="L117" s="1">
        <v>8944.9</v>
      </c>
      <c r="N117" s="1">
        <v>10649.18</v>
      </c>
      <c r="P117" s="1">
        <f t="shared" si="1"/>
        <v>47635.73</v>
      </c>
    </row>
    <row r="118" spans="1:16" x14ac:dyDescent="0.25">
      <c r="A118" t="s">
        <v>11</v>
      </c>
      <c r="B118" t="s">
        <v>95</v>
      </c>
      <c r="C118" t="s">
        <v>28</v>
      </c>
      <c r="D118" t="s">
        <v>14</v>
      </c>
      <c r="E118" t="s">
        <v>15</v>
      </c>
      <c r="F118" s="1">
        <v>35003.42</v>
      </c>
      <c r="H118" s="1">
        <v>27531.1</v>
      </c>
      <c r="J118" s="1">
        <v>30013.25</v>
      </c>
      <c r="L118" s="1">
        <v>40584.75</v>
      </c>
      <c r="N118" s="1">
        <v>41716.47</v>
      </c>
      <c r="P118" s="1">
        <f t="shared" si="1"/>
        <v>174848.99</v>
      </c>
    </row>
    <row r="119" spans="1:16" x14ac:dyDescent="0.25">
      <c r="A119" t="s">
        <v>11</v>
      </c>
      <c r="B119" t="s">
        <v>96</v>
      </c>
      <c r="C119" t="s">
        <v>13</v>
      </c>
      <c r="D119" t="s">
        <v>14</v>
      </c>
      <c r="E119" t="s">
        <v>15</v>
      </c>
      <c r="F119" s="1">
        <v>14136.86</v>
      </c>
      <c r="H119" s="1">
        <v>2771.14</v>
      </c>
      <c r="J119" s="1">
        <v>2112.5</v>
      </c>
      <c r="L119" s="1">
        <v>1747.33</v>
      </c>
      <c r="N119" s="1">
        <v>985.44</v>
      </c>
      <c r="P119" s="1">
        <f t="shared" si="1"/>
        <v>21753.27</v>
      </c>
    </row>
    <row r="120" spans="1:16" x14ac:dyDescent="0.25">
      <c r="A120" t="s">
        <v>11</v>
      </c>
      <c r="B120" t="s">
        <v>97</v>
      </c>
      <c r="C120" t="s">
        <v>13</v>
      </c>
      <c r="D120" t="s">
        <v>14</v>
      </c>
      <c r="E120" t="s">
        <v>15</v>
      </c>
      <c r="F120" s="1">
        <v>30257.33</v>
      </c>
      <c r="G120" t="s">
        <v>33</v>
      </c>
      <c r="H120" s="1">
        <v>39313.57</v>
      </c>
      <c r="I120" t="s">
        <v>33</v>
      </c>
      <c r="J120" s="1">
        <v>20683.84</v>
      </c>
      <c r="K120" t="s">
        <v>33</v>
      </c>
      <c r="L120" s="1">
        <v>25323.47</v>
      </c>
      <c r="M120" t="s">
        <v>33</v>
      </c>
      <c r="N120" s="1">
        <v>23528.85</v>
      </c>
      <c r="O120" t="s">
        <v>33</v>
      </c>
      <c r="P120" s="1">
        <f t="shared" si="1"/>
        <v>139107.06</v>
      </c>
    </row>
    <row r="121" spans="1:16" x14ac:dyDescent="0.25">
      <c r="A121" t="s">
        <v>11</v>
      </c>
      <c r="B121" t="s">
        <v>98</v>
      </c>
      <c r="C121" t="s">
        <v>13</v>
      </c>
      <c r="D121" t="s">
        <v>14</v>
      </c>
      <c r="E121" t="s">
        <v>15</v>
      </c>
      <c r="F121" s="1">
        <v>0</v>
      </c>
      <c r="G121" t="s">
        <v>19</v>
      </c>
      <c r="H121" s="1">
        <v>965.56</v>
      </c>
      <c r="J121" s="1">
        <v>1205.1300000000001</v>
      </c>
      <c r="L121" s="1">
        <v>1439.84</v>
      </c>
      <c r="N121" s="1">
        <v>658.23</v>
      </c>
      <c r="P121" s="1">
        <f t="shared" si="1"/>
        <v>4268.76</v>
      </c>
    </row>
    <row r="122" spans="1:16" x14ac:dyDescent="0.25">
      <c r="A122" t="s">
        <v>11</v>
      </c>
      <c r="B122" t="s">
        <v>99</v>
      </c>
      <c r="C122" t="s">
        <v>13</v>
      </c>
      <c r="D122" t="s">
        <v>14</v>
      </c>
      <c r="E122" t="s">
        <v>15</v>
      </c>
      <c r="F122" s="1">
        <v>595.59</v>
      </c>
      <c r="H122" s="1">
        <v>1500</v>
      </c>
      <c r="I122" t="s">
        <v>33</v>
      </c>
      <c r="J122" s="1">
        <v>1500</v>
      </c>
      <c r="K122" t="s">
        <v>33</v>
      </c>
      <c r="L122" s="1">
        <v>1500</v>
      </c>
      <c r="M122" t="s">
        <v>33</v>
      </c>
      <c r="N122" s="1">
        <v>1500</v>
      </c>
      <c r="O122" t="s">
        <v>33</v>
      </c>
      <c r="P122" s="1">
        <f t="shared" si="1"/>
        <v>6595.59</v>
      </c>
    </row>
    <row r="123" spans="1:16" x14ac:dyDescent="0.25">
      <c r="A123" t="s">
        <v>11</v>
      </c>
      <c r="B123" t="s">
        <v>100</v>
      </c>
      <c r="C123" t="s">
        <v>13</v>
      </c>
      <c r="D123" t="s">
        <v>14</v>
      </c>
      <c r="E123" t="s">
        <v>15</v>
      </c>
      <c r="F123" s="1">
        <v>30792.83</v>
      </c>
      <c r="H123" s="1">
        <v>0</v>
      </c>
      <c r="I123" t="s">
        <v>19</v>
      </c>
      <c r="J123" s="1">
        <v>0</v>
      </c>
      <c r="K123" t="s">
        <v>19</v>
      </c>
      <c r="L123" s="1">
        <v>0</v>
      </c>
      <c r="M123" t="s">
        <v>19</v>
      </c>
      <c r="N123" s="1">
        <v>0</v>
      </c>
      <c r="O123" t="s">
        <v>19</v>
      </c>
      <c r="P123" s="1">
        <f t="shared" si="1"/>
        <v>30792.83</v>
      </c>
    </row>
    <row r="124" spans="1:16" x14ac:dyDescent="0.25">
      <c r="A124" t="s">
        <v>11</v>
      </c>
      <c r="B124" t="s">
        <v>103</v>
      </c>
      <c r="C124" t="s">
        <v>25</v>
      </c>
      <c r="D124" t="s">
        <v>14</v>
      </c>
      <c r="E124" t="s">
        <v>15</v>
      </c>
      <c r="F124" s="1">
        <v>48669.38</v>
      </c>
      <c r="H124" s="1">
        <v>60573.86</v>
      </c>
      <c r="J124" s="1">
        <v>82000.44</v>
      </c>
      <c r="L124" s="1">
        <v>65388.87</v>
      </c>
      <c r="N124" s="1">
        <v>77588.429999999993</v>
      </c>
      <c r="P124" s="1">
        <f t="shared" si="1"/>
        <v>334220.98</v>
      </c>
    </row>
    <row r="125" spans="1:16" x14ac:dyDescent="0.25">
      <c r="A125" t="s">
        <v>11</v>
      </c>
      <c r="B125" t="s">
        <v>103</v>
      </c>
      <c r="C125" t="s">
        <v>28</v>
      </c>
      <c r="D125" t="s">
        <v>14</v>
      </c>
      <c r="E125" t="s">
        <v>15</v>
      </c>
      <c r="F125" s="1">
        <v>42716.82</v>
      </c>
      <c r="H125" s="1">
        <v>123065.54</v>
      </c>
      <c r="J125" s="1">
        <v>129134.87</v>
      </c>
      <c r="L125" s="1">
        <v>109679.48</v>
      </c>
      <c r="N125" s="1">
        <v>133131.56</v>
      </c>
      <c r="P125" s="1">
        <f t="shared" si="1"/>
        <v>537728.27</v>
      </c>
    </row>
    <row r="126" spans="1:16" x14ac:dyDescent="0.25">
      <c r="A126" t="s">
        <v>11</v>
      </c>
      <c r="B126" t="s">
        <v>104</v>
      </c>
      <c r="C126" t="s">
        <v>13</v>
      </c>
      <c r="D126" t="s">
        <v>14</v>
      </c>
      <c r="E126" t="s">
        <v>15</v>
      </c>
      <c r="F126" s="1">
        <v>461.02</v>
      </c>
      <c r="H126" s="1">
        <v>180.35</v>
      </c>
      <c r="J126" s="1">
        <v>151.80000000000001</v>
      </c>
      <c r="L126" s="1">
        <v>1363.23</v>
      </c>
      <c r="N126" s="1">
        <v>147.63999999999999</v>
      </c>
      <c r="P126" s="1">
        <f t="shared" si="1"/>
        <v>2304.04</v>
      </c>
    </row>
    <row r="127" spans="1:16" x14ac:dyDescent="0.25">
      <c r="A127" t="s">
        <v>11</v>
      </c>
      <c r="B127" t="s">
        <v>105</v>
      </c>
      <c r="C127" t="s">
        <v>25</v>
      </c>
      <c r="D127" t="s">
        <v>14</v>
      </c>
      <c r="E127" t="s">
        <v>15</v>
      </c>
      <c r="F127" s="1">
        <v>0</v>
      </c>
      <c r="G127" t="s">
        <v>19</v>
      </c>
      <c r="H127" s="1">
        <v>1892.55</v>
      </c>
      <c r="J127" s="1">
        <v>1762.71</v>
      </c>
      <c r="L127" s="1">
        <v>1734.95</v>
      </c>
      <c r="N127" s="1">
        <v>1264.8900000000001</v>
      </c>
      <c r="P127" s="1">
        <f t="shared" si="1"/>
        <v>6655.1</v>
      </c>
    </row>
    <row r="128" spans="1:16" x14ac:dyDescent="0.25">
      <c r="A128" t="s">
        <v>11</v>
      </c>
      <c r="B128" t="s">
        <v>105</v>
      </c>
      <c r="C128" t="s">
        <v>28</v>
      </c>
      <c r="D128" t="s">
        <v>14</v>
      </c>
      <c r="E128" t="s">
        <v>15</v>
      </c>
      <c r="F128" s="1">
        <v>0</v>
      </c>
      <c r="G128" t="s">
        <v>19</v>
      </c>
      <c r="H128" s="1">
        <v>17911.740000000002</v>
      </c>
      <c r="J128" s="1">
        <v>15931.95</v>
      </c>
      <c r="L128" s="1">
        <v>17584.419999999998</v>
      </c>
      <c r="N128" s="1">
        <v>23771.35</v>
      </c>
      <c r="P128" s="1">
        <f t="shared" si="1"/>
        <v>75199.459999999992</v>
      </c>
    </row>
    <row r="129" spans="1:16" x14ac:dyDescent="0.25">
      <c r="A129" t="s">
        <v>11</v>
      </c>
      <c r="B129" t="s">
        <v>106</v>
      </c>
      <c r="C129" t="s">
        <v>25</v>
      </c>
      <c r="D129" t="s">
        <v>14</v>
      </c>
      <c r="E129" t="s">
        <v>15</v>
      </c>
      <c r="F129" s="1">
        <v>5200.6000000000004</v>
      </c>
      <c r="H129" s="1">
        <v>3642.68</v>
      </c>
      <c r="J129" s="1">
        <v>758.51</v>
      </c>
      <c r="L129" s="1">
        <v>762.49</v>
      </c>
      <c r="N129" s="1">
        <v>1175.17</v>
      </c>
      <c r="P129" s="1">
        <f t="shared" si="1"/>
        <v>11539.45</v>
      </c>
    </row>
    <row r="130" spans="1:16" x14ac:dyDescent="0.25">
      <c r="A130" t="s">
        <v>11</v>
      </c>
      <c r="B130" t="s">
        <v>106</v>
      </c>
      <c r="C130" t="s">
        <v>28</v>
      </c>
      <c r="D130" t="s">
        <v>14</v>
      </c>
      <c r="E130" t="s">
        <v>15</v>
      </c>
      <c r="F130" s="1">
        <v>86056.87</v>
      </c>
      <c r="H130" s="1">
        <v>14393.67</v>
      </c>
      <c r="J130" s="1">
        <v>15561.68</v>
      </c>
      <c r="L130" s="1">
        <v>11492.88</v>
      </c>
      <c r="N130" s="1">
        <v>9513.58</v>
      </c>
      <c r="P130" s="1">
        <f t="shared" si="1"/>
        <v>137018.68</v>
      </c>
    </row>
    <row r="131" spans="1:16" x14ac:dyDescent="0.25">
      <c r="A131" t="s">
        <v>11</v>
      </c>
      <c r="B131" t="s">
        <v>107</v>
      </c>
      <c r="C131" t="s">
        <v>13</v>
      </c>
      <c r="D131" t="s">
        <v>14</v>
      </c>
      <c r="E131" t="s">
        <v>15</v>
      </c>
      <c r="F131" s="1">
        <v>0</v>
      </c>
      <c r="G131" t="s">
        <v>19</v>
      </c>
      <c r="H131" s="1">
        <v>357.81</v>
      </c>
      <c r="J131" s="1">
        <v>1146.3800000000001</v>
      </c>
      <c r="L131" s="1">
        <v>140.06</v>
      </c>
      <c r="N131" s="1">
        <v>168.96</v>
      </c>
      <c r="P131" s="1">
        <f t="shared" ref="P131:P194" si="2">SUM(F131,H131,J131,L131,N131)</f>
        <v>1813.21</v>
      </c>
    </row>
    <row r="132" spans="1:16" x14ac:dyDescent="0.25">
      <c r="A132" t="s">
        <v>11</v>
      </c>
      <c r="B132" t="s">
        <v>107</v>
      </c>
      <c r="C132" t="s">
        <v>25</v>
      </c>
      <c r="D132" t="s">
        <v>14</v>
      </c>
      <c r="E132" t="s">
        <v>15</v>
      </c>
      <c r="F132" s="1">
        <v>0</v>
      </c>
      <c r="G132" t="s">
        <v>19</v>
      </c>
      <c r="H132" s="1">
        <v>106.49</v>
      </c>
      <c r="J132" s="1">
        <v>8.07</v>
      </c>
      <c r="L132" s="1">
        <v>13.71</v>
      </c>
      <c r="N132" s="1">
        <v>45.31</v>
      </c>
      <c r="P132" s="1">
        <f t="shared" si="2"/>
        <v>173.58</v>
      </c>
    </row>
    <row r="133" spans="1:16" x14ac:dyDescent="0.25">
      <c r="A133" t="s">
        <v>11</v>
      </c>
      <c r="B133" t="s">
        <v>107</v>
      </c>
      <c r="C133" t="s">
        <v>28</v>
      </c>
      <c r="D133" t="s">
        <v>14</v>
      </c>
      <c r="E133" t="s">
        <v>15</v>
      </c>
      <c r="F133" s="1">
        <v>600</v>
      </c>
      <c r="G133" t="s">
        <v>33</v>
      </c>
      <c r="H133" s="1">
        <v>1500</v>
      </c>
      <c r="I133" t="s">
        <v>33</v>
      </c>
      <c r="J133" s="1">
        <v>2016.15</v>
      </c>
      <c r="L133" s="1">
        <v>2772.22</v>
      </c>
      <c r="N133" s="1">
        <v>1917.83</v>
      </c>
      <c r="P133" s="1">
        <f t="shared" si="2"/>
        <v>8806.1999999999989</v>
      </c>
    </row>
    <row r="134" spans="1:16" x14ac:dyDescent="0.25">
      <c r="A134" t="s">
        <v>11</v>
      </c>
      <c r="B134" t="s">
        <v>108</v>
      </c>
      <c r="C134" t="s">
        <v>13</v>
      </c>
      <c r="D134" t="s">
        <v>14</v>
      </c>
      <c r="E134" t="s">
        <v>15</v>
      </c>
      <c r="F134" s="1">
        <v>13174.51</v>
      </c>
      <c r="H134" s="1">
        <v>6049.45</v>
      </c>
      <c r="J134" s="1">
        <v>4539.66</v>
      </c>
      <c r="L134" s="1">
        <v>3412.36</v>
      </c>
      <c r="N134" s="1">
        <v>2276.6999999999998</v>
      </c>
      <c r="P134" s="1">
        <f t="shared" si="2"/>
        <v>29452.68</v>
      </c>
    </row>
    <row r="135" spans="1:16" x14ac:dyDescent="0.25">
      <c r="A135" t="s">
        <v>11</v>
      </c>
      <c r="B135" t="s">
        <v>109</v>
      </c>
      <c r="C135" t="s">
        <v>13</v>
      </c>
      <c r="D135" t="s">
        <v>14</v>
      </c>
      <c r="E135" t="s">
        <v>15</v>
      </c>
      <c r="F135" s="1">
        <v>8246.5499999999993</v>
      </c>
      <c r="H135" s="1">
        <v>4839.92</v>
      </c>
      <c r="J135" s="1">
        <v>4384.16</v>
      </c>
      <c r="L135" s="1">
        <v>3731.56</v>
      </c>
      <c r="N135" s="1">
        <v>2952.69</v>
      </c>
      <c r="P135" s="1">
        <f t="shared" si="2"/>
        <v>24154.879999999997</v>
      </c>
    </row>
    <row r="136" spans="1:16" x14ac:dyDescent="0.25">
      <c r="A136" t="s">
        <v>11</v>
      </c>
      <c r="B136" t="s">
        <v>110</v>
      </c>
      <c r="C136" t="s">
        <v>13</v>
      </c>
      <c r="D136" t="s">
        <v>14</v>
      </c>
      <c r="E136" t="s">
        <v>15</v>
      </c>
      <c r="F136" s="1">
        <v>9071.99</v>
      </c>
      <c r="H136" s="1">
        <v>33176.99</v>
      </c>
      <c r="J136" s="1">
        <v>12306.67</v>
      </c>
      <c r="L136" s="1">
        <v>12211.52</v>
      </c>
      <c r="N136" s="1">
        <v>13061.35</v>
      </c>
      <c r="P136" s="1">
        <f t="shared" si="2"/>
        <v>79828.52</v>
      </c>
    </row>
    <row r="137" spans="1:16" x14ac:dyDescent="0.25">
      <c r="A137" t="s">
        <v>11</v>
      </c>
      <c r="B137" t="s">
        <v>111</v>
      </c>
      <c r="C137" t="s">
        <v>25</v>
      </c>
      <c r="D137" t="s">
        <v>14</v>
      </c>
      <c r="E137" t="s">
        <v>15</v>
      </c>
      <c r="F137" s="1">
        <v>7911.8</v>
      </c>
      <c r="H137" s="1">
        <v>4428.82</v>
      </c>
      <c r="J137" s="1">
        <v>4199.84</v>
      </c>
      <c r="L137" s="1">
        <v>2108.84</v>
      </c>
      <c r="N137" s="1">
        <v>2215.3200000000002</v>
      </c>
      <c r="P137" s="1">
        <f t="shared" si="2"/>
        <v>20864.62</v>
      </c>
    </row>
    <row r="138" spans="1:16" x14ac:dyDescent="0.25">
      <c r="A138" t="s">
        <v>11</v>
      </c>
      <c r="B138" t="s">
        <v>111</v>
      </c>
      <c r="C138" t="s">
        <v>28</v>
      </c>
      <c r="D138" t="s">
        <v>14</v>
      </c>
      <c r="E138" t="s">
        <v>15</v>
      </c>
      <c r="F138" s="1">
        <v>25370.62</v>
      </c>
      <c r="H138" s="1">
        <v>11388.11</v>
      </c>
      <c r="J138" s="1">
        <v>13335.78</v>
      </c>
      <c r="L138" s="1">
        <v>13041.59</v>
      </c>
      <c r="N138" s="1">
        <v>12262.13</v>
      </c>
      <c r="P138" s="1">
        <f t="shared" si="2"/>
        <v>75398.23</v>
      </c>
    </row>
    <row r="139" spans="1:16" x14ac:dyDescent="0.25">
      <c r="A139" t="s">
        <v>11</v>
      </c>
      <c r="B139" t="s">
        <v>112</v>
      </c>
      <c r="C139" t="s">
        <v>13</v>
      </c>
      <c r="D139" t="s">
        <v>14</v>
      </c>
      <c r="E139" t="s">
        <v>15</v>
      </c>
      <c r="F139" s="1">
        <v>20317.62</v>
      </c>
      <c r="H139" s="1">
        <v>24140.92</v>
      </c>
      <c r="J139" s="1">
        <v>18925.84</v>
      </c>
      <c r="L139" s="1">
        <v>19056.07</v>
      </c>
      <c r="N139" s="1">
        <v>19392.009999999998</v>
      </c>
      <c r="P139" s="1">
        <f t="shared" si="2"/>
        <v>101832.45999999998</v>
      </c>
    </row>
    <row r="140" spans="1:16" x14ac:dyDescent="0.25">
      <c r="A140" t="s">
        <v>11</v>
      </c>
      <c r="B140" t="s">
        <v>113</v>
      </c>
      <c r="C140" t="s">
        <v>25</v>
      </c>
      <c r="D140" t="s">
        <v>14</v>
      </c>
      <c r="E140" t="s">
        <v>15</v>
      </c>
      <c r="F140" s="1">
        <v>25269.75</v>
      </c>
      <c r="H140" s="1">
        <v>27963.66</v>
      </c>
      <c r="J140" s="1">
        <v>24688.42</v>
      </c>
      <c r="L140" s="1">
        <v>18932.43</v>
      </c>
      <c r="N140" s="1">
        <v>21214.2</v>
      </c>
      <c r="P140" s="1">
        <f t="shared" si="2"/>
        <v>118068.46</v>
      </c>
    </row>
    <row r="141" spans="1:16" x14ac:dyDescent="0.25">
      <c r="A141" t="s">
        <v>11</v>
      </c>
      <c r="B141" t="s">
        <v>113</v>
      </c>
      <c r="C141" t="s">
        <v>28</v>
      </c>
      <c r="D141" t="s">
        <v>14</v>
      </c>
      <c r="E141" t="s">
        <v>15</v>
      </c>
      <c r="F141" s="1">
        <v>81793.84</v>
      </c>
      <c r="H141" s="1">
        <v>83431.710000000006</v>
      </c>
      <c r="J141" s="1">
        <v>89372.03</v>
      </c>
      <c r="L141" s="1">
        <v>99923.66</v>
      </c>
      <c r="N141" s="1">
        <v>131146.60999999999</v>
      </c>
      <c r="P141" s="1">
        <f t="shared" si="2"/>
        <v>485667.85</v>
      </c>
    </row>
    <row r="142" spans="1:16" x14ac:dyDescent="0.25">
      <c r="A142" t="s">
        <v>11</v>
      </c>
      <c r="B142" t="s">
        <v>114</v>
      </c>
      <c r="C142" t="s">
        <v>25</v>
      </c>
      <c r="D142" t="s">
        <v>14</v>
      </c>
      <c r="E142" t="s">
        <v>15</v>
      </c>
      <c r="F142" s="1">
        <v>34062.43</v>
      </c>
      <c r="H142" s="1">
        <v>28537.98</v>
      </c>
      <c r="J142" s="1">
        <v>38713.760000000002</v>
      </c>
      <c r="L142" s="1">
        <v>28675.41</v>
      </c>
      <c r="N142" s="1">
        <v>32783.42</v>
      </c>
      <c r="P142" s="1">
        <f t="shared" si="2"/>
        <v>162773</v>
      </c>
    </row>
    <row r="143" spans="1:16" x14ac:dyDescent="0.25">
      <c r="A143" t="s">
        <v>11</v>
      </c>
      <c r="B143" t="s">
        <v>114</v>
      </c>
      <c r="C143" t="s">
        <v>28</v>
      </c>
      <c r="D143" t="s">
        <v>14</v>
      </c>
      <c r="E143" t="s">
        <v>15</v>
      </c>
      <c r="F143" s="1">
        <v>98233.82</v>
      </c>
      <c r="H143" s="1">
        <v>113848.75</v>
      </c>
      <c r="J143" s="1">
        <v>113358.39999999999</v>
      </c>
      <c r="L143" s="1">
        <v>138680.42000000001</v>
      </c>
      <c r="N143" s="1">
        <v>141373.98000000001</v>
      </c>
      <c r="P143" s="1">
        <f t="shared" si="2"/>
        <v>605495.37</v>
      </c>
    </row>
    <row r="144" spans="1:16" x14ac:dyDescent="0.25">
      <c r="A144" t="s">
        <v>11</v>
      </c>
      <c r="B144" t="s">
        <v>115</v>
      </c>
      <c r="C144" t="s">
        <v>13</v>
      </c>
      <c r="D144" t="s">
        <v>14</v>
      </c>
      <c r="E144" t="s">
        <v>15</v>
      </c>
      <c r="F144" s="1">
        <v>2972.87</v>
      </c>
      <c r="H144" s="1">
        <v>22.99</v>
      </c>
      <c r="J144" s="1">
        <v>602.39</v>
      </c>
      <c r="L144" s="1">
        <v>592.74</v>
      </c>
      <c r="N144" s="1">
        <v>605.4</v>
      </c>
      <c r="P144" s="1">
        <f t="shared" si="2"/>
        <v>4796.3899999999994</v>
      </c>
    </row>
    <row r="145" spans="1:16" x14ac:dyDescent="0.25">
      <c r="A145" t="s">
        <v>11</v>
      </c>
      <c r="B145" t="s">
        <v>116</v>
      </c>
      <c r="C145" t="s">
        <v>25</v>
      </c>
      <c r="D145" t="s">
        <v>14</v>
      </c>
      <c r="E145" t="s">
        <v>15</v>
      </c>
      <c r="F145" s="1">
        <v>3172.74</v>
      </c>
      <c r="H145" s="1">
        <v>414.46</v>
      </c>
      <c r="J145" s="1">
        <v>18.239999999999998</v>
      </c>
      <c r="L145" s="1">
        <v>198.6</v>
      </c>
      <c r="N145" s="1">
        <v>184.25</v>
      </c>
      <c r="P145" s="1">
        <f t="shared" si="2"/>
        <v>3988.2899999999995</v>
      </c>
    </row>
    <row r="146" spans="1:16" x14ac:dyDescent="0.25">
      <c r="A146" t="s">
        <v>11</v>
      </c>
      <c r="B146" t="s">
        <v>116</v>
      </c>
      <c r="C146" t="s">
        <v>28</v>
      </c>
      <c r="D146" t="s">
        <v>14</v>
      </c>
      <c r="E146" t="s">
        <v>15</v>
      </c>
      <c r="F146" s="1">
        <v>17558.88</v>
      </c>
      <c r="H146" s="1">
        <v>299.14999999999998</v>
      </c>
      <c r="J146" s="1">
        <v>757.43</v>
      </c>
      <c r="L146" s="1">
        <v>1073.52</v>
      </c>
      <c r="N146" s="1">
        <v>515.86</v>
      </c>
      <c r="P146" s="1">
        <f t="shared" si="2"/>
        <v>20204.840000000004</v>
      </c>
    </row>
    <row r="147" spans="1:16" x14ac:dyDescent="0.25">
      <c r="A147" t="s">
        <v>11</v>
      </c>
      <c r="B147" t="s">
        <v>117</v>
      </c>
      <c r="C147" t="s">
        <v>25</v>
      </c>
      <c r="D147" t="s">
        <v>14</v>
      </c>
      <c r="E147" t="s">
        <v>15</v>
      </c>
      <c r="F147" s="1">
        <v>4503.6400000000003</v>
      </c>
      <c r="H147" s="1">
        <v>0</v>
      </c>
      <c r="I147" t="s">
        <v>19</v>
      </c>
      <c r="J147" s="1">
        <v>0</v>
      </c>
      <c r="K147" t="s">
        <v>19</v>
      </c>
      <c r="L147" s="1">
        <v>0</v>
      </c>
      <c r="M147" t="s">
        <v>19</v>
      </c>
      <c r="N147" s="1">
        <v>0</v>
      </c>
      <c r="O147" t="s">
        <v>19</v>
      </c>
      <c r="P147" s="1">
        <f t="shared" si="2"/>
        <v>4503.6400000000003</v>
      </c>
    </row>
    <row r="148" spans="1:16" x14ac:dyDescent="0.25">
      <c r="A148" t="s">
        <v>11</v>
      </c>
      <c r="B148" t="s">
        <v>117</v>
      </c>
      <c r="C148" t="s">
        <v>28</v>
      </c>
      <c r="D148" t="s">
        <v>14</v>
      </c>
      <c r="E148" t="s">
        <v>15</v>
      </c>
      <c r="F148" s="1">
        <v>24438.5</v>
      </c>
      <c r="H148" s="1">
        <v>0</v>
      </c>
      <c r="I148" t="s">
        <v>19</v>
      </c>
      <c r="J148" s="1">
        <v>0</v>
      </c>
      <c r="K148" t="s">
        <v>19</v>
      </c>
      <c r="L148" s="1">
        <v>0</v>
      </c>
      <c r="M148" t="s">
        <v>19</v>
      </c>
      <c r="N148" s="1">
        <v>0</v>
      </c>
      <c r="O148" t="s">
        <v>19</v>
      </c>
      <c r="P148" s="1">
        <f t="shared" si="2"/>
        <v>24438.5</v>
      </c>
    </row>
    <row r="149" spans="1:16" x14ac:dyDescent="0.25">
      <c r="A149" t="s">
        <v>11</v>
      </c>
      <c r="B149" t="s">
        <v>118</v>
      </c>
      <c r="C149" t="s">
        <v>25</v>
      </c>
      <c r="D149" t="s">
        <v>14</v>
      </c>
      <c r="E149" t="s">
        <v>15</v>
      </c>
      <c r="F149" s="1">
        <v>11173.41</v>
      </c>
      <c r="H149" s="1">
        <v>0</v>
      </c>
      <c r="I149" t="s">
        <v>19</v>
      </c>
      <c r="J149" s="1">
        <v>0</v>
      </c>
      <c r="K149" t="s">
        <v>19</v>
      </c>
      <c r="L149" s="1">
        <v>0</v>
      </c>
      <c r="M149" t="s">
        <v>19</v>
      </c>
      <c r="N149" s="1">
        <v>0</v>
      </c>
      <c r="O149" t="s">
        <v>19</v>
      </c>
      <c r="P149" s="1">
        <f t="shared" si="2"/>
        <v>11173.41</v>
      </c>
    </row>
    <row r="150" spans="1:16" x14ac:dyDescent="0.25">
      <c r="A150" t="s">
        <v>11</v>
      </c>
      <c r="B150" t="s">
        <v>118</v>
      </c>
      <c r="C150" t="s">
        <v>28</v>
      </c>
      <c r="D150" t="s">
        <v>14</v>
      </c>
      <c r="E150" t="s">
        <v>15</v>
      </c>
      <c r="F150" s="1">
        <v>16420.080000000002</v>
      </c>
      <c r="H150" s="1">
        <v>0</v>
      </c>
      <c r="I150" t="s">
        <v>19</v>
      </c>
      <c r="J150" s="1">
        <v>0</v>
      </c>
      <c r="K150" t="s">
        <v>19</v>
      </c>
      <c r="L150" s="1">
        <v>0</v>
      </c>
      <c r="M150" t="s">
        <v>19</v>
      </c>
      <c r="N150" s="1">
        <v>0</v>
      </c>
      <c r="O150" t="s">
        <v>19</v>
      </c>
      <c r="P150" s="1">
        <f t="shared" si="2"/>
        <v>16420.080000000002</v>
      </c>
    </row>
    <row r="151" spans="1:16" x14ac:dyDescent="0.25">
      <c r="A151" t="s">
        <v>11</v>
      </c>
      <c r="B151" t="s">
        <v>119</v>
      </c>
      <c r="C151" t="s">
        <v>25</v>
      </c>
      <c r="D151" t="s">
        <v>14</v>
      </c>
      <c r="E151" t="s">
        <v>15</v>
      </c>
      <c r="F151" s="1">
        <v>925.63</v>
      </c>
      <c r="H151" s="1">
        <v>892</v>
      </c>
      <c r="J151" s="1">
        <v>1631.04</v>
      </c>
      <c r="L151" s="1">
        <v>95.41</v>
      </c>
      <c r="N151" s="1">
        <v>12.42</v>
      </c>
      <c r="P151" s="1">
        <f t="shared" si="2"/>
        <v>3556.5</v>
      </c>
    </row>
    <row r="152" spans="1:16" x14ac:dyDescent="0.25">
      <c r="A152" t="s">
        <v>11</v>
      </c>
      <c r="B152" t="s">
        <v>119</v>
      </c>
      <c r="C152" t="s">
        <v>28</v>
      </c>
      <c r="D152" t="s">
        <v>14</v>
      </c>
      <c r="E152" t="s">
        <v>15</v>
      </c>
      <c r="F152" s="1">
        <v>5586.29</v>
      </c>
      <c r="H152" s="1">
        <v>10453.59</v>
      </c>
      <c r="J152" s="1">
        <v>10377.540000000001</v>
      </c>
      <c r="L152" s="1">
        <v>1640.39</v>
      </c>
      <c r="N152" s="1">
        <v>1221.75</v>
      </c>
      <c r="P152" s="1">
        <f t="shared" si="2"/>
        <v>29279.56</v>
      </c>
    </row>
    <row r="153" spans="1:16" x14ac:dyDescent="0.25">
      <c r="A153" t="s">
        <v>11</v>
      </c>
      <c r="B153" t="s">
        <v>120</v>
      </c>
      <c r="C153" t="s">
        <v>25</v>
      </c>
      <c r="D153" t="s">
        <v>14</v>
      </c>
      <c r="E153" t="s">
        <v>15</v>
      </c>
      <c r="F153" s="1">
        <v>0</v>
      </c>
      <c r="G153" t="s">
        <v>19</v>
      </c>
      <c r="H153" s="1">
        <v>21202.97</v>
      </c>
      <c r="J153" s="1">
        <v>22113.4</v>
      </c>
      <c r="L153" s="1">
        <v>17625.810000000001</v>
      </c>
      <c r="N153" s="1">
        <v>21877.74</v>
      </c>
      <c r="P153" s="1">
        <f t="shared" si="2"/>
        <v>82819.920000000013</v>
      </c>
    </row>
    <row r="154" spans="1:16" x14ac:dyDescent="0.25">
      <c r="A154" t="s">
        <v>11</v>
      </c>
      <c r="B154" t="s">
        <v>120</v>
      </c>
      <c r="C154" t="s">
        <v>28</v>
      </c>
      <c r="D154" t="s">
        <v>14</v>
      </c>
      <c r="E154" t="s">
        <v>15</v>
      </c>
      <c r="F154" s="1">
        <v>0</v>
      </c>
      <c r="G154" t="s">
        <v>19</v>
      </c>
      <c r="H154" s="1">
        <v>39449.67</v>
      </c>
      <c r="J154" s="1">
        <v>29006.45</v>
      </c>
      <c r="L154" s="1">
        <v>27719.02</v>
      </c>
      <c r="N154" s="1">
        <v>31892.58</v>
      </c>
      <c r="P154" s="1">
        <f t="shared" si="2"/>
        <v>128067.72</v>
      </c>
    </row>
    <row r="155" spans="1:16" x14ac:dyDescent="0.25">
      <c r="A155" t="s">
        <v>11</v>
      </c>
      <c r="B155" t="s">
        <v>121</v>
      </c>
      <c r="C155" t="s">
        <v>13</v>
      </c>
      <c r="D155" t="s">
        <v>14</v>
      </c>
      <c r="E155" t="s">
        <v>15</v>
      </c>
      <c r="F155" s="1">
        <v>0</v>
      </c>
      <c r="G155" t="s">
        <v>19</v>
      </c>
      <c r="H155" s="1">
        <v>56.8</v>
      </c>
      <c r="J155" s="1">
        <v>58.88</v>
      </c>
      <c r="L155" s="1">
        <v>30.43</v>
      </c>
      <c r="N155" s="1">
        <v>273.20999999999998</v>
      </c>
      <c r="P155" s="1">
        <f t="shared" si="2"/>
        <v>419.32</v>
      </c>
    </row>
    <row r="156" spans="1:16" x14ac:dyDescent="0.25">
      <c r="A156" t="s">
        <v>11</v>
      </c>
      <c r="B156" t="s">
        <v>121</v>
      </c>
      <c r="C156" t="s">
        <v>25</v>
      </c>
      <c r="D156" t="s">
        <v>14</v>
      </c>
      <c r="E156" t="s">
        <v>15</v>
      </c>
      <c r="F156" s="1">
        <v>0</v>
      </c>
      <c r="G156" t="s">
        <v>19</v>
      </c>
      <c r="H156" s="1">
        <v>62515.72</v>
      </c>
      <c r="J156" s="1">
        <v>44737.54</v>
      </c>
      <c r="L156" s="1">
        <v>44302.44</v>
      </c>
      <c r="N156" s="1">
        <v>33096.47</v>
      </c>
      <c r="P156" s="1">
        <f t="shared" si="2"/>
        <v>184652.17</v>
      </c>
    </row>
    <row r="157" spans="1:16" x14ac:dyDescent="0.25">
      <c r="A157" t="s">
        <v>11</v>
      </c>
      <c r="B157" t="s">
        <v>121</v>
      </c>
      <c r="C157" t="s">
        <v>28</v>
      </c>
      <c r="D157" t="s">
        <v>14</v>
      </c>
      <c r="E157" t="s">
        <v>15</v>
      </c>
      <c r="F157" s="1">
        <v>0</v>
      </c>
      <c r="G157" t="s">
        <v>19</v>
      </c>
      <c r="H157" s="1">
        <v>133168.95000000001</v>
      </c>
      <c r="J157" s="1">
        <v>148958.91</v>
      </c>
      <c r="L157" s="1">
        <v>155293.12</v>
      </c>
      <c r="N157" s="1">
        <v>158483.38</v>
      </c>
      <c r="P157" s="1">
        <f t="shared" si="2"/>
        <v>595904.36</v>
      </c>
    </row>
    <row r="158" spans="1:16" x14ac:dyDescent="0.25">
      <c r="A158" t="s">
        <v>11</v>
      </c>
      <c r="B158" t="s">
        <v>122</v>
      </c>
      <c r="C158" t="s">
        <v>25</v>
      </c>
      <c r="D158" t="s">
        <v>14</v>
      </c>
      <c r="E158" t="s">
        <v>15</v>
      </c>
      <c r="F158" s="1">
        <v>2710.8</v>
      </c>
      <c r="H158" s="1">
        <v>3161.78</v>
      </c>
      <c r="J158" s="1">
        <v>3715.81</v>
      </c>
      <c r="L158" s="1">
        <v>4266.6899999999996</v>
      </c>
      <c r="N158" s="1">
        <v>4476.82</v>
      </c>
      <c r="P158" s="1">
        <f t="shared" si="2"/>
        <v>18331.899999999998</v>
      </c>
    </row>
    <row r="159" spans="1:16" x14ac:dyDescent="0.25">
      <c r="A159" t="s">
        <v>11</v>
      </c>
      <c r="B159" t="s">
        <v>122</v>
      </c>
      <c r="C159" t="s">
        <v>28</v>
      </c>
      <c r="D159" t="s">
        <v>14</v>
      </c>
      <c r="E159" t="s">
        <v>15</v>
      </c>
      <c r="F159" s="1">
        <v>14765.35</v>
      </c>
      <c r="H159" s="1">
        <v>13810.64</v>
      </c>
      <c r="J159" s="1">
        <v>10645.18</v>
      </c>
      <c r="L159" s="1">
        <v>12181.56</v>
      </c>
      <c r="N159" s="1">
        <v>14880.63</v>
      </c>
      <c r="P159" s="1">
        <f t="shared" si="2"/>
        <v>66283.360000000001</v>
      </c>
    </row>
    <row r="160" spans="1:16" x14ac:dyDescent="0.25">
      <c r="A160" t="s">
        <v>11</v>
      </c>
      <c r="B160" t="s">
        <v>123</v>
      </c>
      <c r="C160" t="s">
        <v>13</v>
      </c>
      <c r="D160" t="s">
        <v>14</v>
      </c>
      <c r="E160" t="s">
        <v>15</v>
      </c>
      <c r="F160" s="1">
        <v>0</v>
      </c>
      <c r="G160" t="s">
        <v>19</v>
      </c>
      <c r="H160" s="1">
        <v>4888.8900000000003</v>
      </c>
      <c r="J160" s="1">
        <v>4351.7700000000004</v>
      </c>
      <c r="L160" s="1">
        <v>3848.76</v>
      </c>
      <c r="N160" s="1">
        <v>5001.3100000000004</v>
      </c>
      <c r="P160" s="1">
        <f t="shared" si="2"/>
        <v>18090.73</v>
      </c>
    </row>
    <row r="161" spans="1:16" x14ac:dyDescent="0.25">
      <c r="A161" t="s">
        <v>11</v>
      </c>
      <c r="B161" t="s">
        <v>124</v>
      </c>
      <c r="C161" t="s">
        <v>25</v>
      </c>
      <c r="D161" t="s">
        <v>14</v>
      </c>
      <c r="E161" t="s">
        <v>15</v>
      </c>
      <c r="F161" s="1">
        <v>0</v>
      </c>
      <c r="G161" t="s">
        <v>19</v>
      </c>
      <c r="H161" s="1">
        <v>1021.47</v>
      </c>
      <c r="J161" s="1">
        <v>90.82</v>
      </c>
      <c r="L161" s="1">
        <v>259.63</v>
      </c>
      <c r="N161" s="1">
        <v>307.57</v>
      </c>
      <c r="P161" s="1">
        <f t="shared" si="2"/>
        <v>1679.49</v>
      </c>
    </row>
    <row r="162" spans="1:16" x14ac:dyDescent="0.25">
      <c r="A162" t="s">
        <v>11</v>
      </c>
      <c r="B162" t="s">
        <v>124</v>
      </c>
      <c r="C162" t="s">
        <v>28</v>
      </c>
      <c r="D162" t="s">
        <v>14</v>
      </c>
      <c r="E162" t="s">
        <v>15</v>
      </c>
      <c r="F162" s="1">
        <v>0</v>
      </c>
      <c r="G162" t="s">
        <v>19</v>
      </c>
      <c r="H162" s="1">
        <v>4023.18</v>
      </c>
      <c r="J162" s="1">
        <v>3421.31</v>
      </c>
      <c r="L162" s="1">
        <v>4824.2</v>
      </c>
      <c r="N162" s="1">
        <v>5217.5</v>
      </c>
      <c r="P162" s="1">
        <f t="shared" si="2"/>
        <v>17486.189999999999</v>
      </c>
    </row>
    <row r="163" spans="1:16" x14ac:dyDescent="0.25">
      <c r="A163" t="s">
        <v>11</v>
      </c>
      <c r="B163" t="s">
        <v>125</v>
      </c>
      <c r="C163" t="s">
        <v>25</v>
      </c>
      <c r="D163" t="s">
        <v>14</v>
      </c>
      <c r="E163" t="s">
        <v>15</v>
      </c>
      <c r="F163" s="1">
        <v>29865.040000000001</v>
      </c>
      <c r="H163" s="1">
        <v>34429.879999999997</v>
      </c>
      <c r="J163" s="1">
        <v>44593.31</v>
      </c>
      <c r="L163" s="1">
        <v>32531.200000000001</v>
      </c>
      <c r="N163" s="1">
        <v>24406.74</v>
      </c>
      <c r="P163" s="1">
        <f t="shared" si="2"/>
        <v>165826.16999999998</v>
      </c>
    </row>
    <row r="164" spans="1:16" x14ac:dyDescent="0.25">
      <c r="A164" t="s">
        <v>11</v>
      </c>
      <c r="B164" t="s">
        <v>125</v>
      </c>
      <c r="C164" t="s">
        <v>28</v>
      </c>
      <c r="D164" t="s">
        <v>14</v>
      </c>
      <c r="E164" t="s">
        <v>15</v>
      </c>
      <c r="F164" s="1">
        <v>28693.05</v>
      </c>
      <c r="H164" s="1">
        <v>39993.129999999997</v>
      </c>
      <c r="J164" s="1">
        <v>26044.54</v>
      </c>
      <c r="L164" s="1">
        <v>28306.01</v>
      </c>
      <c r="N164" s="1">
        <v>28724.93</v>
      </c>
      <c r="P164" s="1">
        <f t="shared" si="2"/>
        <v>151761.66</v>
      </c>
    </row>
    <row r="165" spans="1:16" x14ac:dyDescent="0.25">
      <c r="A165" t="s">
        <v>11</v>
      </c>
      <c r="B165" t="s">
        <v>126</v>
      </c>
      <c r="C165" t="s">
        <v>25</v>
      </c>
      <c r="D165" t="s">
        <v>14</v>
      </c>
      <c r="E165" t="s">
        <v>15</v>
      </c>
      <c r="F165" s="1">
        <v>3966.23</v>
      </c>
      <c r="H165" s="1">
        <v>0</v>
      </c>
      <c r="I165" t="s">
        <v>19</v>
      </c>
      <c r="J165" s="1">
        <v>0</v>
      </c>
      <c r="K165" t="s">
        <v>19</v>
      </c>
      <c r="L165" s="1">
        <v>0</v>
      </c>
      <c r="M165" t="s">
        <v>19</v>
      </c>
      <c r="N165" s="1">
        <v>0</v>
      </c>
      <c r="O165" t="s">
        <v>19</v>
      </c>
      <c r="P165" s="1">
        <f t="shared" si="2"/>
        <v>3966.23</v>
      </c>
    </row>
    <row r="166" spans="1:16" x14ac:dyDescent="0.25">
      <c r="A166" t="s">
        <v>11</v>
      </c>
      <c r="B166" t="s">
        <v>126</v>
      </c>
      <c r="C166" t="s">
        <v>28</v>
      </c>
      <c r="D166" t="s">
        <v>14</v>
      </c>
      <c r="E166" t="s">
        <v>15</v>
      </c>
      <c r="F166" s="1">
        <v>22427.99</v>
      </c>
      <c r="H166" s="1">
        <v>0</v>
      </c>
      <c r="I166" t="s">
        <v>19</v>
      </c>
      <c r="J166" s="1">
        <v>0</v>
      </c>
      <c r="K166" t="s">
        <v>19</v>
      </c>
      <c r="L166" s="1">
        <v>0</v>
      </c>
      <c r="M166" t="s">
        <v>19</v>
      </c>
      <c r="N166" s="1">
        <v>0</v>
      </c>
      <c r="O166" t="s">
        <v>19</v>
      </c>
      <c r="P166" s="1">
        <f t="shared" si="2"/>
        <v>22427.99</v>
      </c>
    </row>
    <row r="167" spans="1:16" x14ac:dyDescent="0.25">
      <c r="A167" t="s">
        <v>11</v>
      </c>
      <c r="B167" t="s">
        <v>127</v>
      </c>
      <c r="C167" t="s">
        <v>25</v>
      </c>
      <c r="D167" t="s">
        <v>14</v>
      </c>
      <c r="E167" t="s">
        <v>15</v>
      </c>
      <c r="F167" s="1">
        <v>0</v>
      </c>
      <c r="G167" t="s">
        <v>19</v>
      </c>
      <c r="H167" s="1">
        <v>2365.35</v>
      </c>
      <c r="J167" s="1">
        <v>2302.23</v>
      </c>
      <c r="L167" s="1">
        <v>3702.15</v>
      </c>
      <c r="N167" s="1">
        <v>3413.17</v>
      </c>
      <c r="P167" s="1">
        <f t="shared" si="2"/>
        <v>11782.9</v>
      </c>
    </row>
    <row r="168" spans="1:16" x14ac:dyDescent="0.25">
      <c r="A168" t="s">
        <v>11</v>
      </c>
      <c r="B168" t="s">
        <v>127</v>
      </c>
      <c r="C168" t="s">
        <v>28</v>
      </c>
      <c r="D168" t="s">
        <v>14</v>
      </c>
      <c r="E168" t="s">
        <v>15</v>
      </c>
      <c r="F168" s="1">
        <v>0</v>
      </c>
      <c r="G168" t="s">
        <v>19</v>
      </c>
      <c r="H168" s="1">
        <v>406.43</v>
      </c>
      <c r="J168" s="1">
        <v>9779.73</v>
      </c>
      <c r="L168" s="1">
        <v>4521.63</v>
      </c>
      <c r="N168" s="1">
        <v>9610.1200000000008</v>
      </c>
      <c r="P168" s="1">
        <f t="shared" si="2"/>
        <v>24317.910000000003</v>
      </c>
    </row>
    <row r="169" spans="1:16" x14ac:dyDescent="0.25">
      <c r="A169" t="s">
        <v>11</v>
      </c>
      <c r="B169" t="s">
        <v>128</v>
      </c>
      <c r="C169" t="s">
        <v>25</v>
      </c>
      <c r="D169" t="s">
        <v>14</v>
      </c>
      <c r="E169" t="s">
        <v>15</v>
      </c>
      <c r="F169" s="1">
        <v>1208.99</v>
      </c>
      <c r="H169" s="1">
        <v>1409.37</v>
      </c>
      <c r="J169" s="1">
        <v>2061</v>
      </c>
      <c r="L169" s="1">
        <v>1644.64</v>
      </c>
      <c r="N169" s="1">
        <v>1695.29</v>
      </c>
      <c r="P169" s="1">
        <f t="shared" si="2"/>
        <v>8019.29</v>
      </c>
    </row>
    <row r="170" spans="1:16" x14ac:dyDescent="0.25">
      <c r="A170" t="s">
        <v>11</v>
      </c>
      <c r="B170" t="s">
        <v>128</v>
      </c>
      <c r="C170" t="s">
        <v>28</v>
      </c>
      <c r="D170" t="s">
        <v>14</v>
      </c>
      <c r="E170" t="s">
        <v>15</v>
      </c>
      <c r="F170" s="1">
        <v>235.68</v>
      </c>
      <c r="H170" s="1">
        <v>0</v>
      </c>
      <c r="I170" t="s">
        <v>19</v>
      </c>
      <c r="J170" s="1">
        <v>0</v>
      </c>
      <c r="K170" t="s">
        <v>19</v>
      </c>
      <c r="L170" s="1">
        <v>0</v>
      </c>
      <c r="M170" t="s">
        <v>19</v>
      </c>
      <c r="N170" s="1">
        <v>0</v>
      </c>
      <c r="O170" t="s">
        <v>19</v>
      </c>
      <c r="P170" s="1">
        <f t="shared" si="2"/>
        <v>235.68</v>
      </c>
    </row>
    <row r="171" spans="1:16" x14ac:dyDescent="0.25">
      <c r="A171" t="s">
        <v>11</v>
      </c>
      <c r="B171" t="s">
        <v>129</v>
      </c>
      <c r="C171" t="s">
        <v>13</v>
      </c>
      <c r="D171" t="s">
        <v>14</v>
      </c>
      <c r="E171" t="s">
        <v>15</v>
      </c>
      <c r="F171" s="1">
        <v>0</v>
      </c>
      <c r="G171" t="s">
        <v>19</v>
      </c>
      <c r="H171" s="1">
        <v>1798.83</v>
      </c>
      <c r="J171" s="1">
        <v>2845.7</v>
      </c>
      <c r="L171" s="1">
        <v>3120.57</v>
      </c>
      <c r="N171" s="1">
        <v>3527.04</v>
      </c>
      <c r="P171" s="1">
        <f t="shared" si="2"/>
        <v>11292.14</v>
      </c>
    </row>
    <row r="172" spans="1:16" x14ac:dyDescent="0.25">
      <c r="A172" t="s">
        <v>11</v>
      </c>
      <c r="B172" t="s">
        <v>130</v>
      </c>
      <c r="C172" t="s">
        <v>25</v>
      </c>
      <c r="D172" t="s">
        <v>14</v>
      </c>
      <c r="E172" t="s">
        <v>15</v>
      </c>
      <c r="F172" s="1">
        <v>40.08</v>
      </c>
      <c r="H172" s="1">
        <v>694.72</v>
      </c>
      <c r="J172" s="1">
        <v>0.05</v>
      </c>
      <c r="L172" s="1">
        <v>253.28</v>
      </c>
      <c r="N172" s="1">
        <v>0.3</v>
      </c>
      <c r="P172" s="1">
        <f t="shared" si="2"/>
        <v>988.43</v>
      </c>
    </row>
    <row r="173" spans="1:16" x14ac:dyDescent="0.25">
      <c r="A173" t="s">
        <v>11</v>
      </c>
      <c r="B173" t="s">
        <v>130</v>
      </c>
      <c r="C173" t="s">
        <v>28</v>
      </c>
      <c r="D173" t="s">
        <v>14</v>
      </c>
      <c r="E173" t="s">
        <v>15</v>
      </c>
      <c r="F173" s="1">
        <v>3.5</v>
      </c>
      <c r="H173" s="1">
        <v>2296.12</v>
      </c>
      <c r="J173" s="1">
        <v>609.22</v>
      </c>
      <c r="L173" s="1">
        <v>8.5500000000000007</v>
      </c>
      <c r="N173" s="1">
        <v>20.6</v>
      </c>
      <c r="P173" s="1">
        <f t="shared" si="2"/>
        <v>2937.9900000000002</v>
      </c>
    </row>
    <row r="174" spans="1:16" x14ac:dyDescent="0.25">
      <c r="A174" t="s">
        <v>11</v>
      </c>
      <c r="B174" t="s">
        <v>132</v>
      </c>
      <c r="C174" t="s">
        <v>13</v>
      </c>
      <c r="D174" t="s">
        <v>14</v>
      </c>
      <c r="E174" t="s">
        <v>15</v>
      </c>
      <c r="F174" s="1">
        <v>0</v>
      </c>
      <c r="G174" t="s">
        <v>19</v>
      </c>
      <c r="H174" s="1">
        <v>50.21</v>
      </c>
      <c r="J174" s="1">
        <v>146.55000000000001</v>
      </c>
      <c r="L174" s="1">
        <v>113.17</v>
      </c>
      <c r="N174" s="1">
        <v>0</v>
      </c>
      <c r="O174" t="s">
        <v>19</v>
      </c>
      <c r="P174" s="1">
        <f t="shared" si="2"/>
        <v>309.93</v>
      </c>
    </row>
    <row r="175" spans="1:16" x14ac:dyDescent="0.25">
      <c r="A175" t="s">
        <v>11</v>
      </c>
      <c r="B175" t="s">
        <v>132</v>
      </c>
      <c r="C175" t="s">
        <v>25</v>
      </c>
      <c r="D175" t="s">
        <v>14</v>
      </c>
      <c r="E175" t="s">
        <v>15</v>
      </c>
      <c r="F175" s="1">
        <v>0</v>
      </c>
      <c r="G175" t="s">
        <v>19</v>
      </c>
      <c r="H175" s="1">
        <v>360.45</v>
      </c>
      <c r="J175" s="1">
        <v>362.24</v>
      </c>
      <c r="L175" s="1">
        <v>347.5</v>
      </c>
      <c r="N175" s="1">
        <v>5.4</v>
      </c>
      <c r="P175" s="1">
        <f t="shared" si="2"/>
        <v>1075.5900000000001</v>
      </c>
    </row>
    <row r="176" spans="1:16" x14ac:dyDescent="0.25">
      <c r="A176" t="s">
        <v>11</v>
      </c>
      <c r="B176" t="s">
        <v>132</v>
      </c>
      <c r="C176" t="s">
        <v>28</v>
      </c>
      <c r="D176" t="s">
        <v>14</v>
      </c>
      <c r="E176" t="s">
        <v>15</v>
      </c>
      <c r="F176" s="1">
        <v>0</v>
      </c>
      <c r="G176" t="s">
        <v>19</v>
      </c>
      <c r="H176" s="1">
        <v>635.41999999999996</v>
      </c>
      <c r="J176" s="1">
        <v>1702.8</v>
      </c>
      <c r="L176" s="1">
        <v>802.95</v>
      </c>
      <c r="N176" s="1">
        <v>1231.95</v>
      </c>
      <c r="P176" s="1">
        <f t="shared" si="2"/>
        <v>4373.12</v>
      </c>
    </row>
    <row r="177" spans="1:16" x14ac:dyDescent="0.25">
      <c r="A177" t="s">
        <v>11</v>
      </c>
      <c r="B177" t="s">
        <v>133</v>
      </c>
      <c r="C177" t="s">
        <v>28</v>
      </c>
      <c r="D177" t="s">
        <v>14</v>
      </c>
      <c r="E177" t="s">
        <v>15</v>
      </c>
      <c r="F177" s="1">
        <v>0</v>
      </c>
      <c r="G177" t="s">
        <v>19</v>
      </c>
      <c r="H177" s="1">
        <v>490.36</v>
      </c>
      <c r="J177" s="1">
        <v>278.04000000000002</v>
      </c>
      <c r="L177" s="1">
        <v>143.81</v>
      </c>
      <c r="N177" s="1">
        <v>3.15</v>
      </c>
      <c r="P177" s="1">
        <f t="shared" si="2"/>
        <v>915.36</v>
      </c>
    </row>
    <row r="178" spans="1:16" x14ac:dyDescent="0.25">
      <c r="A178" t="s">
        <v>11</v>
      </c>
      <c r="B178" t="s">
        <v>134</v>
      </c>
      <c r="C178" t="s">
        <v>25</v>
      </c>
      <c r="D178" t="s">
        <v>14</v>
      </c>
      <c r="E178" t="s">
        <v>15</v>
      </c>
      <c r="F178" s="1">
        <v>1518.39</v>
      </c>
      <c r="H178" s="1">
        <v>78.83</v>
      </c>
      <c r="J178" s="1">
        <v>306.87</v>
      </c>
      <c r="L178" s="1">
        <v>103.26</v>
      </c>
      <c r="N178" s="1">
        <v>453.43</v>
      </c>
      <c r="P178" s="1">
        <f t="shared" si="2"/>
        <v>2460.7800000000002</v>
      </c>
    </row>
    <row r="179" spans="1:16" x14ac:dyDescent="0.25">
      <c r="A179" t="s">
        <v>11</v>
      </c>
      <c r="B179" t="s">
        <v>134</v>
      </c>
      <c r="C179" t="s">
        <v>28</v>
      </c>
      <c r="D179" t="s">
        <v>14</v>
      </c>
      <c r="E179" t="s">
        <v>15</v>
      </c>
      <c r="F179" s="1">
        <v>7255.24</v>
      </c>
      <c r="H179" s="1">
        <v>255.86</v>
      </c>
      <c r="J179" s="1">
        <v>1063.56</v>
      </c>
      <c r="L179" s="1">
        <v>1283.7</v>
      </c>
      <c r="N179" s="1">
        <v>1004.35</v>
      </c>
      <c r="P179" s="1">
        <f t="shared" si="2"/>
        <v>10862.710000000001</v>
      </c>
    </row>
    <row r="180" spans="1:16" x14ac:dyDescent="0.25">
      <c r="A180" t="s">
        <v>11</v>
      </c>
      <c r="B180" t="s">
        <v>135</v>
      </c>
      <c r="C180" t="s">
        <v>13</v>
      </c>
      <c r="D180" t="s">
        <v>14</v>
      </c>
      <c r="E180" t="s">
        <v>15</v>
      </c>
      <c r="F180" s="1">
        <v>12203.06</v>
      </c>
      <c r="H180" s="1">
        <v>10018.280000000001</v>
      </c>
      <c r="J180" s="1">
        <v>6144.94</v>
      </c>
      <c r="L180" s="1">
        <v>5252.24</v>
      </c>
      <c r="N180" s="1">
        <v>5653.31</v>
      </c>
      <c r="P180" s="1">
        <f t="shared" si="2"/>
        <v>39271.829999999994</v>
      </c>
    </row>
    <row r="181" spans="1:16" x14ac:dyDescent="0.25">
      <c r="A181" t="s">
        <v>11</v>
      </c>
      <c r="B181" t="s">
        <v>136</v>
      </c>
      <c r="C181" t="s">
        <v>25</v>
      </c>
      <c r="D181" t="s">
        <v>14</v>
      </c>
      <c r="E181" t="s">
        <v>15</v>
      </c>
      <c r="F181" s="1">
        <v>2089.61</v>
      </c>
      <c r="H181" s="1">
        <v>2639.03</v>
      </c>
      <c r="J181" s="1">
        <v>3267.45</v>
      </c>
      <c r="L181" s="1">
        <v>5104.18</v>
      </c>
      <c r="N181" s="1">
        <v>4185.1499999999996</v>
      </c>
      <c r="P181" s="1">
        <f t="shared" si="2"/>
        <v>17285.419999999998</v>
      </c>
    </row>
    <row r="182" spans="1:16" x14ac:dyDescent="0.25">
      <c r="A182" t="s">
        <v>11</v>
      </c>
      <c r="B182" t="s">
        <v>136</v>
      </c>
      <c r="C182" t="s">
        <v>28</v>
      </c>
      <c r="D182" t="s">
        <v>14</v>
      </c>
      <c r="E182" t="s">
        <v>15</v>
      </c>
      <c r="F182" s="1">
        <v>8324.6200000000008</v>
      </c>
      <c r="H182" s="1">
        <v>4267</v>
      </c>
      <c r="J182" s="1">
        <v>2389.41</v>
      </c>
      <c r="L182" s="1">
        <v>2578.4299999999998</v>
      </c>
      <c r="N182" s="1">
        <v>2943.87</v>
      </c>
      <c r="P182" s="1">
        <f t="shared" si="2"/>
        <v>20503.329999999998</v>
      </c>
    </row>
    <row r="183" spans="1:16" x14ac:dyDescent="0.25">
      <c r="A183" t="s">
        <v>11</v>
      </c>
      <c r="B183" t="s">
        <v>137</v>
      </c>
      <c r="C183" t="s">
        <v>25</v>
      </c>
      <c r="D183" t="s">
        <v>14</v>
      </c>
      <c r="E183" t="s">
        <v>15</v>
      </c>
      <c r="F183" s="1">
        <v>2484.87</v>
      </c>
      <c r="H183" s="1">
        <v>0</v>
      </c>
      <c r="I183" t="s">
        <v>19</v>
      </c>
      <c r="J183" s="1">
        <v>0</v>
      </c>
      <c r="K183" t="s">
        <v>19</v>
      </c>
      <c r="L183" s="1">
        <v>0</v>
      </c>
      <c r="M183" t="s">
        <v>19</v>
      </c>
      <c r="N183" s="1">
        <v>0</v>
      </c>
      <c r="O183" t="s">
        <v>19</v>
      </c>
      <c r="P183" s="1">
        <f t="shared" si="2"/>
        <v>2484.87</v>
      </c>
    </row>
    <row r="184" spans="1:16" x14ac:dyDescent="0.25">
      <c r="A184" t="s">
        <v>11</v>
      </c>
      <c r="B184" t="s">
        <v>137</v>
      </c>
      <c r="C184" t="s">
        <v>28</v>
      </c>
      <c r="D184" t="s">
        <v>14</v>
      </c>
      <c r="E184" t="s">
        <v>15</v>
      </c>
      <c r="F184" s="1">
        <v>17578.77</v>
      </c>
      <c r="H184" s="1">
        <v>0</v>
      </c>
      <c r="I184" t="s">
        <v>19</v>
      </c>
      <c r="J184" s="1">
        <v>0</v>
      </c>
      <c r="K184" t="s">
        <v>19</v>
      </c>
      <c r="L184" s="1">
        <v>0</v>
      </c>
      <c r="M184" t="s">
        <v>19</v>
      </c>
      <c r="N184" s="1">
        <v>0</v>
      </c>
      <c r="O184" t="s">
        <v>19</v>
      </c>
      <c r="P184" s="1">
        <f t="shared" si="2"/>
        <v>17578.77</v>
      </c>
    </row>
    <row r="185" spans="1:16" x14ac:dyDescent="0.25">
      <c r="A185" t="s">
        <v>11</v>
      </c>
      <c r="B185" t="s">
        <v>138</v>
      </c>
      <c r="C185" t="s">
        <v>25</v>
      </c>
      <c r="D185" t="s">
        <v>14</v>
      </c>
      <c r="E185" t="s">
        <v>15</v>
      </c>
      <c r="F185" s="1">
        <v>16667.62</v>
      </c>
      <c r="H185" s="1">
        <v>3707.47</v>
      </c>
      <c r="J185" s="1">
        <v>4867.53</v>
      </c>
      <c r="L185" s="1">
        <v>3241.45</v>
      </c>
      <c r="N185" s="1">
        <v>4322.0200000000004</v>
      </c>
      <c r="P185" s="1">
        <f t="shared" si="2"/>
        <v>32806.089999999997</v>
      </c>
    </row>
    <row r="186" spans="1:16" x14ac:dyDescent="0.25">
      <c r="A186" t="s">
        <v>11</v>
      </c>
      <c r="B186" t="s">
        <v>138</v>
      </c>
      <c r="C186" t="s">
        <v>28</v>
      </c>
      <c r="D186" t="s">
        <v>14</v>
      </c>
      <c r="E186" t="s">
        <v>15</v>
      </c>
      <c r="F186" s="1">
        <v>5526.76</v>
      </c>
      <c r="H186" s="1">
        <v>4805.3900000000003</v>
      </c>
      <c r="J186" s="1">
        <v>6838.37</v>
      </c>
      <c r="L186" s="1">
        <v>13090.5</v>
      </c>
      <c r="N186" s="1">
        <v>11127.85</v>
      </c>
      <c r="P186" s="1">
        <f t="shared" si="2"/>
        <v>41388.870000000003</v>
      </c>
    </row>
    <row r="187" spans="1:16" x14ac:dyDescent="0.25">
      <c r="A187" t="s">
        <v>11</v>
      </c>
      <c r="B187" t="s">
        <v>139</v>
      </c>
      <c r="C187" t="s">
        <v>25</v>
      </c>
      <c r="D187" t="s">
        <v>14</v>
      </c>
      <c r="E187" t="s">
        <v>15</v>
      </c>
      <c r="F187" s="1">
        <v>34802.19</v>
      </c>
      <c r="H187" s="1">
        <v>20210.12</v>
      </c>
      <c r="J187" s="1">
        <v>18804.7</v>
      </c>
      <c r="L187" s="1">
        <v>16150.23</v>
      </c>
      <c r="N187" s="1">
        <v>19582.47</v>
      </c>
      <c r="P187" s="1">
        <f t="shared" si="2"/>
        <v>109549.70999999999</v>
      </c>
    </row>
    <row r="188" spans="1:16" x14ac:dyDescent="0.25">
      <c r="A188" t="s">
        <v>11</v>
      </c>
      <c r="B188" t="s">
        <v>139</v>
      </c>
      <c r="C188" t="s">
        <v>28</v>
      </c>
      <c r="D188" t="s">
        <v>14</v>
      </c>
      <c r="E188" t="s">
        <v>15</v>
      </c>
      <c r="F188" s="1">
        <v>97113.279999999999</v>
      </c>
      <c r="H188" s="1">
        <v>43524.46</v>
      </c>
      <c r="J188" s="1">
        <v>45892.06</v>
      </c>
      <c r="L188" s="1">
        <v>46142.86</v>
      </c>
      <c r="N188" s="1">
        <v>44451.62</v>
      </c>
      <c r="P188" s="1">
        <f t="shared" si="2"/>
        <v>277124.27999999997</v>
      </c>
    </row>
    <row r="189" spans="1:16" x14ac:dyDescent="0.25">
      <c r="A189" t="s">
        <v>11</v>
      </c>
      <c r="B189" t="s">
        <v>140</v>
      </c>
      <c r="C189" t="s">
        <v>25</v>
      </c>
      <c r="D189" t="s">
        <v>14</v>
      </c>
      <c r="E189" t="s">
        <v>15</v>
      </c>
      <c r="F189" s="1">
        <v>0</v>
      </c>
      <c r="G189" t="s">
        <v>19</v>
      </c>
      <c r="H189" s="1">
        <v>74415.39</v>
      </c>
      <c r="J189" s="1">
        <v>94206.41</v>
      </c>
      <c r="L189" s="1">
        <v>102616.48</v>
      </c>
      <c r="N189" s="1">
        <v>109721.49</v>
      </c>
      <c r="P189" s="1">
        <f t="shared" si="2"/>
        <v>380959.76999999996</v>
      </c>
    </row>
    <row r="190" spans="1:16" x14ac:dyDescent="0.25">
      <c r="A190" t="s">
        <v>11</v>
      </c>
      <c r="B190" t="s">
        <v>140</v>
      </c>
      <c r="C190" t="s">
        <v>28</v>
      </c>
      <c r="D190" t="s">
        <v>14</v>
      </c>
      <c r="E190" t="s">
        <v>15</v>
      </c>
      <c r="F190" s="1">
        <v>0</v>
      </c>
      <c r="G190" t="s">
        <v>19</v>
      </c>
      <c r="H190" s="1">
        <v>188413.15</v>
      </c>
      <c r="J190" s="1">
        <v>176932.39</v>
      </c>
      <c r="L190" s="1">
        <v>182494.44</v>
      </c>
      <c r="N190" s="1">
        <v>171082.43</v>
      </c>
      <c r="P190" s="1">
        <f t="shared" si="2"/>
        <v>718922.40999999992</v>
      </c>
    </row>
    <row r="191" spans="1:16" x14ac:dyDescent="0.25">
      <c r="A191" t="s">
        <v>11</v>
      </c>
      <c r="B191" t="s">
        <v>141</v>
      </c>
      <c r="C191" t="s">
        <v>25</v>
      </c>
      <c r="D191" t="s">
        <v>14</v>
      </c>
      <c r="E191" t="s">
        <v>15</v>
      </c>
      <c r="F191" s="1">
        <v>10885.68</v>
      </c>
      <c r="H191" s="1">
        <v>12647.59</v>
      </c>
      <c r="J191" s="1">
        <v>17724.28</v>
      </c>
      <c r="L191" s="1">
        <v>14096.37</v>
      </c>
      <c r="N191" s="1">
        <v>15350.02</v>
      </c>
      <c r="P191" s="1">
        <f t="shared" si="2"/>
        <v>70703.94</v>
      </c>
    </row>
    <row r="192" spans="1:16" x14ac:dyDescent="0.25">
      <c r="A192" t="s">
        <v>11</v>
      </c>
      <c r="B192" t="s">
        <v>141</v>
      </c>
      <c r="C192" t="s">
        <v>28</v>
      </c>
      <c r="D192" t="s">
        <v>14</v>
      </c>
      <c r="E192" t="s">
        <v>15</v>
      </c>
      <c r="F192" s="1">
        <v>21608.67</v>
      </c>
      <c r="H192" s="1">
        <v>35321.64</v>
      </c>
      <c r="J192" s="1">
        <v>26090.99</v>
      </c>
      <c r="L192" s="1">
        <v>19182.86</v>
      </c>
      <c r="N192" s="1">
        <v>14714.68</v>
      </c>
      <c r="P192" s="1">
        <f t="shared" si="2"/>
        <v>116918.84</v>
      </c>
    </row>
    <row r="193" spans="1:16" x14ac:dyDescent="0.25">
      <c r="A193" t="s">
        <v>11</v>
      </c>
      <c r="B193" t="s">
        <v>142</v>
      </c>
      <c r="C193" t="s">
        <v>25</v>
      </c>
      <c r="D193" t="s">
        <v>14</v>
      </c>
      <c r="E193" t="s">
        <v>15</v>
      </c>
      <c r="F193" s="1">
        <v>840.07</v>
      </c>
      <c r="H193" s="1">
        <v>1285.74</v>
      </c>
      <c r="J193" s="1">
        <v>1582.07</v>
      </c>
      <c r="L193" s="1">
        <v>1146.9100000000001</v>
      </c>
      <c r="N193" s="1">
        <v>1758.1</v>
      </c>
      <c r="P193" s="1">
        <f t="shared" si="2"/>
        <v>6612.8899999999994</v>
      </c>
    </row>
    <row r="194" spans="1:16" x14ac:dyDescent="0.25">
      <c r="A194" t="s">
        <v>11</v>
      </c>
      <c r="B194" t="s">
        <v>142</v>
      </c>
      <c r="C194" t="s">
        <v>28</v>
      </c>
      <c r="D194" t="s">
        <v>14</v>
      </c>
      <c r="E194" t="s">
        <v>15</v>
      </c>
      <c r="F194" s="1">
        <v>77</v>
      </c>
      <c r="H194" s="1">
        <v>77</v>
      </c>
      <c r="J194" s="1">
        <v>77</v>
      </c>
      <c r="L194" s="1">
        <v>43</v>
      </c>
      <c r="N194" s="1">
        <v>43</v>
      </c>
      <c r="P194" s="1">
        <f t="shared" si="2"/>
        <v>317</v>
      </c>
    </row>
    <row r="195" spans="1:16" x14ac:dyDescent="0.25">
      <c r="A195" t="s">
        <v>11</v>
      </c>
      <c r="B195" t="s">
        <v>143</v>
      </c>
      <c r="C195" t="s">
        <v>13</v>
      </c>
      <c r="D195" t="s">
        <v>14</v>
      </c>
      <c r="E195" t="s">
        <v>15</v>
      </c>
      <c r="F195" s="1">
        <v>0</v>
      </c>
      <c r="G195" t="s">
        <v>19</v>
      </c>
      <c r="H195" s="1">
        <v>13775.65</v>
      </c>
      <c r="J195" s="1">
        <v>11615.51</v>
      </c>
      <c r="L195" s="1">
        <v>1419.97</v>
      </c>
      <c r="N195" s="1">
        <v>2866.84</v>
      </c>
      <c r="P195" s="1">
        <f t="shared" ref="P195:P258" si="3">SUM(F195,H195,J195,L195,N195)</f>
        <v>29677.97</v>
      </c>
    </row>
    <row r="196" spans="1:16" x14ac:dyDescent="0.25">
      <c r="A196" t="s">
        <v>11</v>
      </c>
      <c r="B196" t="s">
        <v>143</v>
      </c>
      <c r="C196" t="s">
        <v>25</v>
      </c>
      <c r="D196" t="s">
        <v>14</v>
      </c>
      <c r="E196" t="s">
        <v>15</v>
      </c>
      <c r="F196" s="1">
        <v>1821.64</v>
      </c>
      <c r="H196" s="1">
        <v>760.26</v>
      </c>
      <c r="J196" s="1">
        <v>1083.32</v>
      </c>
      <c r="L196" s="1">
        <v>2348.1</v>
      </c>
      <c r="N196" s="1">
        <v>1899.49</v>
      </c>
      <c r="P196" s="1">
        <f t="shared" si="3"/>
        <v>7912.8099999999995</v>
      </c>
    </row>
    <row r="197" spans="1:16" x14ac:dyDescent="0.25">
      <c r="A197" t="s">
        <v>11</v>
      </c>
      <c r="B197" t="s">
        <v>143</v>
      </c>
      <c r="C197" t="s">
        <v>28</v>
      </c>
      <c r="D197" t="s">
        <v>14</v>
      </c>
      <c r="E197" t="s">
        <v>15</v>
      </c>
      <c r="F197" s="1">
        <v>8771.17</v>
      </c>
      <c r="H197" s="1">
        <v>13169.28</v>
      </c>
      <c r="J197" s="1">
        <v>5048.5200000000004</v>
      </c>
      <c r="L197" s="1">
        <v>4127.93</v>
      </c>
      <c r="N197" s="1">
        <v>6661.85</v>
      </c>
      <c r="P197" s="1">
        <f t="shared" si="3"/>
        <v>37778.75</v>
      </c>
    </row>
    <row r="198" spans="1:16" x14ac:dyDescent="0.25">
      <c r="A198" t="s">
        <v>11</v>
      </c>
      <c r="B198" t="s">
        <v>144</v>
      </c>
      <c r="C198" t="s">
        <v>13</v>
      </c>
      <c r="D198" t="s">
        <v>14</v>
      </c>
      <c r="E198" t="s">
        <v>15</v>
      </c>
      <c r="F198" s="1">
        <v>22161.69</v>
      </c>
      <c r="H198" s="1">
        <v>17351.47</v>
      </c>
      <c r="J198" s="1">
        <v>15225.91</v>
      </c>
      <c r="L198" s="1">
        <v>15058.5</v>
      </c>
      <c r="N198" s="1">
        <v>18528.240000000002</v>
      </c>
      <c r="P198" s="1">
        <f t="shared" si="3"/>
        <v>88325.810000000012</v>
      </c>
    </row>
    <row r="199" spans="1:16" x14ac:dyDescent="0.25">
      <c r="A199" t="s">
        <v>11</v>
      </c>
      <c r="B199" t="s">
        <v>145</v>
      </c>
      <c r="C199" t="s">
        <v>25</v>
      </c>
      <c r="D199" t="s">
        <v>14</v>
      </c>
      <c r="E199" t="s">
        <v>15</v>
      </c>
      <c r="F199" s="1">
        <v>64330.57</v>
      </c>
      <c r="H199" s="1">
        <v>7724.86</v>
      </c>
      <c r="J199" s="1">
        <v>6478.59</v>
      </c>
      <c r="L199" s="1">
        <v>7945.35</v>
      </c>
      <c r="N199" s="1">
        <v>10914.48</v>
      </c>
      <c r="P199" s="1">
        <f t="shared" si="3"/>
        <v>97393.849999999991</v>
      </c>
    </row>
    <row r="200" spans="1:16" x14ac:dyDescent="0.25">
      <c r="A200" t="s">
        <v>11</v>
      </c>
      <c r="B200" t="s">
        <v>145</v>
      </c>
      <c r="C200" t="s">
        <v>28</v>
      </c>
      <c r="D200" t="s">
        <v>14</v>
      </c>
      <c r="E200" t="s">
        <v>15</v>
      </c>
      <c r="F200" s="1">
        <v>95322.17</v>
      </c>
      <c r="H200" s="1">
        <v>13685.16</v>
      </c>
      <c r="J200" s="1">
        <v>26182.29</v>
      </c>
      <c r="L200" s="1">
        <v>28598.14</v>
      </c>
      <c r="N200" s="1">
        <v>40251.03</v>
      </c>
      <c r="P200" s="1">
        <f t="shared" si="3"/>
        <v>204038.79</v>
      </c>
    </row>
    <row r="201" spans="1:16" x14ac:dyDescent="0.25">
      <c r="A201" t="s">
        <v>11</v>
      </c>
      <c r="B201" t="s">
        <v>146</v>
      </c>
      <c r="C201" t="s">
        <v>25</v>
      </c>
      <c r="D201" t="s">
        <v>14</v>
      </c>
      <c r="E201" t="s">
        <v>15</v>
      </c>
      <c r="F201" s="1">
        <v>8384.17</v>
      </c>
      <c r="H201" s="1">
        <v>2529.23</v>
      </c>
      <c r="J201" s="1">
        <v>42.8</v>
      </c>
      <c r="L201" s="1">
        <v>2980.16</v>
      </c>
      <c r="N201" s="1">
        <v>2291.46</v>
      </c>
      <c r="P201" s="1">
        <f t="shared" si="3"/>
        <v>16227.82</v>
      </c>
    </row>
    <row r="202" spans="1:16" x14ac:dyDescent="0.25">
      <c r="A202" t="s">
        <v>11</v>
      </c>
      <c r="B202" t="s">
        <v>146</v>
      </c>
      <c r="C202" t="s">
        <v>28</v>
      </c>
      <c r="D202" t="s">
        <v>14</v>
      </c>
      <c r="E202" t="s">
        <v>15</v>
      </c>
      <c r="F202" s="1">
        <v>5000</v>
      </c>
      <c r="G202" t="s">
        <v>33</v>
      </c>
      <c r="H202" s="1">
        <v>2968.69</v>
      </c>
      <c r="J202" s="1">
        <v>17024.61</v>
      </c>
      <c r="L202" s="1">
        <v>7983.59</v>
      </c>
      <c r="N202" s="1">
        <v>8752.6299999999992</v>
      </c>
      <c r="P202" s="1">
        <f t="shared" si="3"/>
        <v>41729.519999999997</v>
      </c>
    </row>
    <row r="203" spans="1:16" x14ac:dyDescent="0.25">
      <c r="A203" t="s">
        <v>11</v>
      </c>
      <c r="B203" t="s">
        <v>147</v>
      </c>
      <c r="C203" t="s">
        <v>25</v>
      </c>
      <c r="D203" t="s">
        <v>14</v>
      </c>
      <c r="E203" t="s">
        <v>15</v>
      </c>
      <c r="F203" s="1">
        <v>1261.3499999999999</v>
      </c>
      <c r="H203" s="1">
        <v>1690.52</v>
      </c>
      <c r="J203" s="1">
        <v>788.74</v>
      </c>
      <c r="L203" s="1">
        <v>1164.72</v>
      </c>
      <c r="N203" s="1">
        <v>1435.62</v>
      </c>
      <c r="P203" s="1">
        <f t="shared" si="3"/>
        <v>6340.95</v>
      </c>
    </row>
    <row r="204" spans="1:16" x14ac:dyDescent="0.25">
      <c r="A204" t="s">
        <v>11</v>
      </c>
      <c r="B204" t="s">
        <v>147</v>
      </c>
      <c r="C204" t="s">
        <v>28</v>
      </c>
      <c r="D204" t="s">
        <v>14</v>
      </c>
      <c r="E204" t="s">
        <v>15</v>
      </c>
      <c r="F204" s="1">
        <v>3880.02</v>
      </c>
      <c r="H204" s="1">
        <v>297.42</v>
      </c>
      <c r="J204" s="1">
        <v>3587.17</v>
      </c>
      <c r="L204" s="1">
        <v>687.42</v>
      </c>
      <c r="N204" s="1">
        <v>10620.17</v>
      </c>
      <c r="P204" s="1">
        <f t="shared" si="3"/>
        <v>19072.199999999997</v>
      </c>
    </row>
    <row r="205" spans="1:16" x14ac:dyDescent="0.25">
      <c r="A205" t="s">
        <v>11</v>
      </c>
      <c r="B205" t="s">
        <v>148</v>
      </c>
      <c r="C205" t="s">
        <v>25</v>
      </c>
      <c r="D205" t="s">
        <v>14</v>
      </c>
      <c r="E205" t="s">
        <v>15</v>
      </c>
      <c r="F205" s="1">
        <v>49919.74</v>
      </c>
      <c r="H205" s="1">
        <v>42415.21</v>
      </c>
      <c r="J205" s="1">
        <v>56325.67</v>
      </c>
      <c r="L205" s="1">
        <v>44953.29</v>
      </c>
      <c r="N205" s="1">
        <v>49190.91</v>
      </c>
      <c r="P205" s="1">
        <f t="shared" si="3"/>
        <v>242804.82</v>
      </c>
    </row>
    <row r="206" spans="1:16" x14ac:dyDescent="0.25">
      <c r="A206" t="s">
        <v>11</v>
      </c>
      <c r="B206" t="s">
        <v>148</v>
      </c>
      <c r="C206" t="s">
        <v>28</v>
      </c>
      <c r="D206" t="s">
        <v>14</v>
      </c>
      <c r="E206" t="s">
        <v>15</v>
      </c>
      <c r="F206" s="1">
        <v>97585.35</v>
      </c>
      <c r="H206" s="1">
        <v>87537.11</v>
      </c>
      <c r="J206" s="1">
        <v>91820.75</v>
      </c>
      <c r="L206" s="1">
        <v>101649.29</v>
      </c>
      <c r="N206" s="1">
        <v>107118.02</v>
      </c>
      <c r="P206" s="1">
        <f t="shared" si="3"/>
        <v>485710.52</v>
      </c>
    </row>
    <row r="207" spans="1:16" x14ac:dyDescent="0.25">
      <c r="A207" t="s">
        <v>11</v>
      </c>
      <c r="B207" t="s">
        <v>149</v>
      </c>
      <c r="C207" t="s">
        <v>13</v>
      </c>
      <c r="D207" t="s">
        <v>14</v>
      </c>
      <c r="E207" t="s">
        <v>15</v>
      </c>
      <c r="F207" s="1">
        <v>10902.13</v>
      </c>
      <c r="H207" s="1">
        <v>17519.990000000002</v>
      </c>
      <c r="J207" s="1">
        <v>15488.92</v>
      </c>
      <c r="L207" s="1">
        <v>17734.689999999999</v>
      </c>
      <c r="N207" s="1">
        <v>18418.419999999998</v>
      </c>
      <c r="P207" s="1">
        <f t="shared" si="3"/>
        <v>80064.149999999994</v>
      </c>
    </row>
    <row r="208" spans="1:16" x14ac:dyDescent="0.25">
      <c r="A208" t="s">
        <v>11</v>
      </c>
      <c r="B208" t="s">
        <v>150</v>
      </c>
      <c r="C208" t="s">
        <v>13</v>
      </c>
      <c r="D208" t="s">
        <v>14</v>
      </c>
      <c r="E208" t="s">
        <v>15</v>
      </c>
      <c r="F208" s="1">
        <v>0</v>
      </c>
      <c r="G208" t="s">
        <v>19</v>
      </c>
      <c r="H208" s="1">
        <v>5.58</v>
      </c>
      <c r="J208" s="1">
        <v>15.42</v>
      </c>
      <c r="L208" s="1">
        <v>7.32</v>
      </c>
      <c r="N208" s="1">
        <v>5.01</v>
      </c>
      <c r="P208" s="1">
        <f t="shared" si="3"/>
        <v>33.33</v>
      </c>
    </row>
    <row r="209" spans="1:16" x14ac:dyDescent="0.25">
      <c r="A209" t="s">
        <v>11</v>
      </c>
      <c r="B209" t="s">
        <v>151</v>
      </c>
      <c r="C209" t="s">
        <v>13</v>
      </c>
      <c r="D209" t="s">
        <v>14</v>
      </c>
      <c r="E209" t="s">
        <v>15</v>
      </c>
      <c r="F209" s="1">
        <v>0</v>
      </c>
      <c r="G209" t="s">
        <v>19</v>
      </c>
      <c r="H209" s="1">
        <v>14518.32</v>
      </c>
      <c r="J209" s="1">
        <v>2639.23</v>
      </c>
      <c r="L209" s="1">
        <v>3754.69</v>
      </c>
      <c r="N209" s="1">
        <v>3170.55</v>
      </c>
      <c r="P209" s="1">
        <f t="shared" si="3"/>
        <v>24082.789999999997</v>
      </c>
    </row>
    <row r="210" spans="1:16" x14ac:dyDescent="0.25">
      <c r="A210" t="s">
        <v>11</v>
      </c>
      <c r="B210" t="s">
        <v>152</v>
      </c>
      <c r="C210" t="s">
        <v>25</v>
      </c>
      <c r="D210" t="s">
        <v>14</v>
      </c>
      <c r="E210" t="s">
        <v>15</v>
      </c>
      <c r="F210" s="1">
        <v>3287.05</v>
      </c>
      <c r="H210" s="1">
        <v>743.01</v>
      </c>
      <c r="J210" s="1">
        <v>561.58000000000004</v>
      </c>
      <c r="L210" s="1">
        <v>592.48</v>
      </c>
      <c r="N210" s="1">
        <v>783.86</v>
      </c>
      <c r="P210" s="1">
        <f t="shared" si="3"/>
        <v>5967.9800000000005</v>
      </c>
    </row>
    <row r="211" spans="1:16" x14ac:dyDescent="0.25">
      <c r="A211" t="s">
        <v>11</v>
      </c>
      <c r="B211" t="s">
        <v>152</v>
      </c>
      <c r="C211" t="s">
        <v>28</v>
      </c>
      <c r="D211" t="s">
        <v>14</v>
      </c>
      <c r="E211" t="s">
        <v>15</v>
      </c>
      <c r="F211" s="1">
        <v>37358.980000000003</v>
      </c>
      <c r="H211" s="1">
        <v>5678.22</v>
      </c>
      <c r="J211" s="1">
        <v>9872.76</v>
      </c>
      <c r="L211" s="1">
        <v>10876.79</v>
      </c>
      <c r="N211" s="1">
        <v>11377.38</v>
      </c>
      <c r="P211" s="1">
        <f t="shared" si="3"/>
        <v>75164.13</v>
      </c>
    </row>
    <row r="212" spans="1:16" x14ac:dyDescent="0.25">
      <c r="A212" t="s">
        <v>11</v>
      </c>
      <c r="B212" t="s">
        <v>153</v>
      </c>
      <c r="C212" t="s">
        <v>25</v>
      </c>
      <c r="D212" t="s">
        <v>14</v>
      </c>
      <c r="E212" t="s">
        <v>15</v>
      </c>
      <c r="F212" s="1">
        <v>0</v>
      </c>
      <c r="G212" t="s">
        <v>19</v>
      </c>
      <c r="H212" s="1">
        <v>11099.18</v>
      </c>
      <c r="J212" s="1">
        <v>9248.7800000000007</v>
      </c>
      <c r="L212" s="1">
        <v>3296.7</v>
      </c>
      <c r="N212" s="1">
        <v>2541.4299999999998</v>
      </c>
      <c r="P212" s="1">
        <f t="shared" si="3"/>
        <v>26186.09</v>
      </c>
    </row>
    <row r="213" spans="1:16" x14ac:dyDescent="0.25">
      <c r="A213" t="s">
        <v>11</v>
      </c>
      <c r="B213" t="s">
        <v>153</v>
      </c>
      <c r="C213" t="s">
        <v>28</v>
      </c>
      <c r="D213" t="s">
        <v>14</v>
      </c>
      <c r="E213" t="s">
        <v>15</v>
      </c>
      <c r="F213" s="1">
        <v>0</v>
      </c>
      <c r="G213" t="s">
        <v>19</v>
      </c>
      <c r="H213" s="1">
        <v>19301.78</v>
      </c>
      <c r="J213" s="1">
        <v>17482.62</v>
      </c>
      <c r="L213" s="1">
        <v>23895.22</v>
      </c>
      <c r="N213" s="1">
        <v>20056.88</v>
      </c>
      <c r="P213" s="1">
        <f t="shared" si="3"/>
        <v>80736.5</v>
      </c>
    </row>
    <row r="214" spans="1:16" x14ac:dyDescent="0.25">
      <c r="A214" t="s">
        <v>11</v>
      </c>
      <c r="B214" t="s">
        <v>154</v>
      </c>
      <c r="C214" t="s">
        <v>13</v>
      </c>
      <c r="D214" t="s">
        <v>14</v>
      </c>
      <c r="E214" t="s">
        <v>15</v>
      </c>
      <c r="F214" s="1">
        <v>953.28</v>
      </c>
      <c r="H214" s="1">
        <v>103.34</v>
      </c>
      <c r="J214" s="1">
        <v>43.71</v>
      </c>
      <c r="L214" s="1">
        <v>37.049999999999997</v>
      </c>
      <c r="N214" s="1">
        <v>27.83</v>
      </c>
      <c r="P214" s="1">
        <f t="shared" si="3"/>
        <v>1165.2099999999998</v>
      </c>
    </row>
    <row r="215" spans="1:16" x14ac:dyDescent="0.25">
      <c r="A215" t="s">
        <v>11</v>
      </c>
      <c r="B215" t="s">
        <v>155</v>
      </c>
      <c r="C215" t="s">
        <v>25</v>
      </c>
      <c r="D215" t="s">
        <v>14</v>
      </c>
      <c r="E215" t="s">
        <v>15</v>
      </c>
      <c r="F215" s="1">
        <v>0</v>
      </c>
      <c r="G215" t="s">
        <v>19</v>
      </c>
      <c r="H215" s="1">
        <v>59</v>
      </c>
      <c r="J215" s="1">
        <v>57</v>
      </c>
      <c r="L215" s="1">
        <v>1.3</v>
      </c>
      <c r="N215" s="1">
        <v>2.76</v>
      </c>
      <c r="P215" s="1">
        <f t="shared" si="3"/>
        <v>120.06</v>
      </c>
    </row>
    <row r="216" spans="1:16" x14ac:dyDescent="0.25">
      <c r="A216" t="s">
        <v>11</v>
      </c>
      <c r="B216" t="s">
        <v>155</v>
      </c>
      <c r="C216" t="s">
        <v>28</v>
      </c>
      <c r="D216" t="s">
        <v>14</v>
      </c>
      <c r="E216" t="s">
        <v>15</v>
      </c>
      <c r="F216" s="1">
        <v>0</v>
      </c>
      <c r="G216" t="s">
        <v>19</v>
      </c>
      <c r="H216" s="1">
        <v>186.57</v>
      </c>
      <c r="J216" s="1">
        <v>252.21</v>
      </c>
      <c r="L216" s="1">
        <v>322.89</v>
      </c>
      <c r="N216" s="1">
        <v>145.52000000000001</v>
      </c>
      <c r="P216" s="1">
        <f t="shared" si="3"/>
        <v>907.18999999999994</v>
      </c>
    </row>
    <row r="217" spans="1:16" x14ac:dyDescent="0.25">
      <c r="A217" t="s">
        <v>11</v>
      </c>
      <c r="B217" t="s">
        <v>156</v>
      </c>
      <c r="C217" t="s">
        <v>25</v>
      </c>
      <c r="D217" t="s">
        <v>14</v>
      </c>
      <c r="E217" t="s">
        <v>15</v>
      </c>
      <c r="F217" s="1">
        <v>24451.16</v>
      </c>
      <c r="H217" s="1">
        <v>25859.66</v>
      </c>
      <c r="J217" s="1">
        <v>33295.360000000001</v>
      </c>
      <c r="L217" s="1">
        <v>26498.95</v>
      </c>
      <c r="N217" s="1">
        <v>35963.089999999997</v>
      </c>
      <c r="P217" s="1">
        <f t="shared" si="3"/>
        <v>146068.21999999997</v>
      </c>
    </row>
    <row r="218" spans="1:16" x14ac:dyDescent="0.25">
      <c r="A218" t="s">
        <v>11</v>
      </c>
      <c r="B218" t="s">
        <v>156</v>
      </c>
      <c r="C218" t="s">
        <v>28</v>
      </c>
      <c r="D218" t="s">
        <v>14</v>
      </c>
      <c r="E218" t="s">
        <v>15</v>
      </c>
      <c r="F218" s="1">
        <v>160197.51999999999</v>
      </c>
      <c r="H218" s="1">
        <v>106783.73</v>
      </c>
      <c r="J218" s="1">
        <v>122063.45</v>
      </c>
      <c r="L218" s="1">
        <v>181684.99</v>
      </c>
      <c r="N218" s="1">
        <v>165636.65</v>
      </c>
      <c r="P218" s="1">
        <f t="shared" si="3"/>
        <v>736366.34</v>
      </c>
    </row>
    <row r="219" spans="1:16" x14ac:dyDescent="0.25">
      <c r="A219" t="s">
        <v>11</v>
      </c>
      <c r="B219" t="s">
        <v>157</v>
      </c>
      <c r="C219" t="s">
        <v>25</v>
      </c>
      <c r="D219" t="s">
        <v>14</v>
      </c>
      <c r="E219" t="s">
        <v>15</v>
      </c>
      <c r="F219" s="1">
        <v>19.95</v>
      </c>
      <c r="H219" s="1">
        <v>23.25</v>
      </c>
      <c r="J219" s="1">
        <v>34.01</v>
      </c>
      <c r="L219" s="1">
        <v>27.14</v>
      </c>
      <c r="N219" s="1">
        <v>27.97</v>
      </c>
      <c r="P219" s="1">
        <f t="shared" si="3"/>
        <v>132.32</v>
      </c>
    </row>
    <row r="220" spans="1:16" x14ac:dyDescent="0.25">
      <c r="A220" t="s">
        <v>11</v>
      </c>
      <c r="B220" t="s">
        <v>158</v>
      </c>
      <c r="C220" t="s">
        <v>25</v>
      </c>
      <c r="D220" t="s">
        <v>14</v>
      </c>
      <c r="E220" t="s">
        <v>15</v>
      </c>
      <c r="F220" s="1">
        <v>634.52</v>
      </c>
      <c r="H220" s="1">
        <v>739.69</v>
      </c>
      <c r="J220" s="1">
        <v>1081.69</v>
      </c>
      <c r="L220" s="1">
        <v>863.17</v>
      </c>
      <c r="N220" s="1">
        <v>889.75</v>
      </c>
      <c r="P220" s="1">
        <f t="shared" si="3"/>
        <v>4208.82</v>
      </c>
    </row>
    <row r="221" spans="1:16" x14ac:dyDescent="0.25">
      <c r="A221" t="s">
        <v>11</v>
      </c>
      <c r="B221" t="s">
        <v>159</v>
      </c>
      <c r="C221" t="s">
        <v>13</v>
      </c>
      <c r="D221" t="s">
        <v>14</v>
      </c>
      <c r="E221" t="s">
        <v>15</v>
      </c>
      <c r="F221" s="1">
        <v>206.22</v>
      </c>
      <c r="H221" s="1">
        <v>219.49</v>
      </c>
      <c r="J221" s="1">
        <v>344.02</v>
      </c>
      <c r="L221" s="1">
        <v>457.43</v>
      </c>
      <c r="N221" s="1">
        <v>1153.94</v>
      </c>
      <c r="P221" s="1">
        <f t="shared" si="3"/>
        <v>2381.1000000000004</v>
      </c>
    </row>
    <row r="222" spans="1:16" x14ac:dyDescent="0.25">
      <c r="A222" t="s">
        <v>11</v>
      </c>
      <c r="B222" t="s">
        <v>160</v>
      </c>
      <c r="C222" t="s">
        <v>25</v>
      </c>
      <c r="D222" t="s">
        <v>14</v>
      </c>
      <c r="E222" t="s">
        <v>15</v>
      </c>
      <c r="F222" s="1">
        <v>369.11</v>
      </c>
      <c r="H222" s="1">
        <v>39.19</v>
      </c>
      <c r="J222" s="1">
        <v>92.06</v>
      </c>
      <c r="L222" s="1">
        <v>2.1</v>
      </c>
      <c r="N222" s="1">
        <v>0</v>
      </c>
      <c r="O222" t="s">
        <v>19</v>
      </c>
      <c r="P222" s="1">
        <f t="shared" si="3"/>
        <v>502.46000000000004</v>
      </c>
    </row>
    <row r="223" spans="1:16" x14ac:dyDescent="0.25">
      <c r="A223" t="s">
        <v>11</v>
      </c>
      <c r="B223" t="s">
        <v>160</v>
      </c>
      <c r="C223" t="s">
        <v>28</v>
      </c>
      <c r="D223" t="s">
        <v>14</v>
      </c>
      <c r="E223" t="s">
        <v>15</v>
      </c>
      <c r="F223" s="1">
        <v>1904.03</v>
      </c>
      <c r="H223" s="1">
        <v>469.37</v>
      </c>
      <c r="J223" s="1">
        <v>33.270000000000003</v>
      </c>
      <c r="L223" s="1">
        <v>30.27</v>
      </c>
      <c r="N223" s="1">
        <v>35</v>
      </c>
      <c r="P223" s="1">
        <f t="shared" si="3"/>
        <v>2471.94</v>
      </c>
    </row>
    <row r="224" spans="1:16" x14ac:dyDescent="0.25">
      <c r="A224" t="s">
        <v>11</v>
      </c>
      <c r="B224" t="s">
        <v>161</v>
      </c>
      <c r="C224" t="s">
        <v>25</v>
      </c>
      <c r="D224" t="s">
        <v>14</v>
      </c>
      <c r="E224" t="s">
        <v>15</v>
      </c>
      <c r="F224" s="1">
        <v>0</v>
      </c>
      <c r="G224" t="s">
        <v>19</v>
      </c>
      <c r="H224" s="1">
        <v>5930.05</v>
      </c>
      <c r="J224" s="1">
        <v>5141.1400000000003</v>
      </c>
      <c r="L224" s="1">
        <v>4143.18</v>
      </c>
      <c r="N224" s="1">
        <v>4552.3599999999997</v>
      </c>
      <c r="P224" s="1">
        <f t="shared" si="3"/>
        <v>19766.73</v>
      </c>
    </row>
    <row r="225" spans="1:16" x14ac:dyDescent="0.25">
      <c r="A225" t="s">
        <v>11</v>
      </c>
      <c r="B225" t="s">
        <v>161</v>
      </c>
      <c r="C225" t="s">
        <v>28</v>
      </c>
      <c r="D225" t="s">
        <v>14</v>
      </c>
      <c r="E225" t="s">
        <v>15</v>
      </c>
      <c r="F225" s="1">
        <v>0</v>
      </c>
      <c r="G225" t="s">
        <v>19</v>
      </c>
      <c r="H225" s="1">
        <v>54342.58</v>
      </c>
      <c r="J225" s="1">
        <v>39218.120000000003</v>
      </c>
      <c r="L225" s="1">
        <v>32805.32</v>
      </c>
      <c r="N225" s="1">
        <v>43828.95</v>
      </c>
      <c r="P225" s="1">
        <f t="shared" si="3"/>
        <v>170194.97000000003</v>
      </c>
    </row>
    <row r="226" spans="1:16" x14ac:dyDescent="0.25">
      <c r="A226" t="s">
        <v>11</v>
      </c>
      <c r="B226" t="s">
        <v>162</v>
      </c>
      <c r="C226" t="s">
        <v>25</v>
      </c>
      <c r="D226" t="s">
        <v>14</v>
      </c>
      <c r="E226" t="s">
        <v>15</v>
      </c>
      <c r="F226" s="1">
        <v>1000</v>
      </c>
      <c r="G226" t="s">
        <v>33</v>
      </c>
      <c r="H226" s="1">
        <v>2402.2600000000002</v>
      </c>
      <c r="J226" s="1">
        <v>1299.54</v>
      </c>
      <c r="L226" s="1">
        <v>539.80999999999995</v>
      </c>
      <c r="N226" s="1">
        <v>325.14999999999998</v>
      </c>
      <c r="P226" s="1">
        <f t="shared" si="3"/>
        <v>5566.76</v>
      </c>
    </row>
    <row r="227" spans="1:16" x14ac:dyDescent="0.25">
      <c r="A227" t="s">
        <v>11</v>
      </c>
      <c r="B227" t="s">
        <v>162</v>
      </c>
      <c r="C227" t="s">
        <v>28</v>
      </c>
      <c r="D227" t="s">
        <v>14</v>
      </c>
      <c r="E227" t="s">
        <v>15</v>
      </c>
      <c r="F227" s="1">
        <v>3200</v>
      </c>
      <c r="G227" t="s">
        <v>33</v>
      </c>
      <c r="H227" s="1">
        <v>1565.91</v>
      </c>
      <c r="J227" s="1">
        <v>1430.98</v>
      </c>
      <c r="L227" s="1">
        <v>2746.09</v>
      </c>
      <c r="N227" s="1">
        <v>2614.36</v>
      </c>
      <c r="P227" s="1">
        <f t="shared" si="3"/>
        <v>11557.34</v>
      </c>
    </row>
    <row r="228" spans="1:16" x14ac:dyDescent="0.25">
      <c r="A228" t="s">
        <v>11</v>
      </c>
      <c r="B228" t="s">
        <v>163</v>
      </c>
      <c r="C228" t="s">
        <v>25</v>
      </c>
      <c r="D228" t="s">
        <v>14</v>
      </c>
      <c r="E228" t="s">
        <v>15</v>
      </c>
      <c r="F228" s="1">
        <v>343664.77</v>
      </c>
      <c r="G228" t="s">
        <v>33</v>
      </c>
      <c r="H228" s="1">
        <v>60482.74</v>
      </c>
      <c r="I228" t="s">
        <v>33</v>
      </c>
      <c r="J228" s="1">
        <v>21730.06</v>
      </c>
      <c r="K228" t="s">
        <v>33</v>
      </c>
      <c r="L228" s="1">
        <v>3276.66</v>
      </c>
      <c r="M228" t="s">
        <v>33</v>
      </c>
      <c r="N228" s="1">
        <v>4410.4399999999996</v>
      </c>
      <c r="O228" t="s">
        <v>33</v>
      </c>
      <c r="P228" s="1">
        <f t="shared" si="3"/>
        <v>433564.67</v>
      </c>
    </row>
    <row r="229" spans="1:16" x14ac:dyDescent="0.25">
      <c r="A229" t="s">
        <v>11</v>
      </c>
      <c r="B229" t="s">
        <v>163</v>
      </c>
      <c r="C229" t="s">
        <v>28</v>
      </c>
      <c r="D229" t="s">
        <v>14</v>
      </c>
      <c r="E229" t="s">
        <v>15</v>
      </c>
      <c r="F229" s="1">
        <v>766568.42</v>
      </c>
      <c r="G229" t="s">
        <v>33</v>
      </c>
      <c r="H229" s="1">
        <v>240504.06</v>
      </c>
      <c r="I229" t="s">
        <v>33</v>
      </c>
      <c r="J229" s="1">
        <v>147029.62</v>
      </c>
      <c r="K229" t="s">
        <v>33</v>
      </c>
      <c r="L229" s="1">
        <v>179629.93</v>
      </c>
      <c r="M229" t="s">
        <v>33</v>
      </c>
      <c r="N229" s="1">
        <v>226351.46</v>
      </c>
      <c r="O229" t="s">
        <v>33</v>
      </c>
      <c r="P229" s="1">
        <f t="shared" si="3"/>
        <v>1560083.49</v>
      </c>
    </row>
    <row r="230" spans="1:16" x14ac:dyDescent="0.25">
      <c r="A230" t="s">
        <v>11</v>
      </c>
      <c r="B230" t="s">
        <v>164</v>
      </c>
      <c r="C230" t="s">
        <v>25</v>
      </c>
      <c r="D230" t="s">
        <v>14</v>
      </c>
      <c r="E230" t="s">
        <v>15</v>
      </c>
      <c r="F230" s="1">
        <v>115.38</v>
      </c>
      <c r="H230" s="1">
        <v>181.29</v>
      </c>
      <c r="J230" s="1">
        <v>5948.18</v>
      </c>
      <c r="L230" s="1">
        <v>14598.6</v>
      </c>
      <c r="N230" s="1">
        <v>788.88</v>
      </c>
      <c r="P230" s="1">
        <f t="shared" si="3"/>
        <v>21632.33</v>
      </c>
    </row>
    <row r="231" spans="1:16" x14ac:dyDescent="0.25">
      <c r="A231" t="s">
        <v>11</v>
      </c>
      <c r="B231" t="s">
        <v>164</v>
      </c>
      <c r="C231" t="s">
        <v>28</v>
      </c>
      <c r="D231" t="s">
        <v>14</v>
      </c>
      <c r="E231" t="s">
        <v>15</v>
      </c>
      <c r="F231" s="1">
        <v>1848.24</v>
      </c>
      <c r="H231" s="1">
        <v>30.44</v>
      </c>
      <c r="J231" s="1">
        <v>1566.08</v>
      </c>
      <c r="L231" s="1">
        <v>4264.07</v>
      </c>
      <c r="N231" s="1">
        <v>390.18</v>
      </c>
      <c r="P231" s="1">
        <f t="shared" si="3"/>
        <v>8099.01</v>
      </c>
    </row>
    <row r="232" spans="1:16" x14ac:dyDescent="0.25">
      <c r="A232" t="s">
        <v>11</v>
      </c>
      <c r="B232" t="s">
        <v>165</v>
      </c>
      <c r="C232" t="s">
        <v>25</v>
      </c>
      <c r="D232" t="s">
        <v>14</v>
      </c>
      <c r="E232" t="s">
        <v>15</v>
      </c>
      <c r="F232" s="1">
        <v>0.26</v>
      </c>
      <c r="H232" s="1">
        <v>0</v>
      </c>
      <c r="I232" t="s">
        <v>19</v>
      </c>
      <c r="J232" s="1">
        <v>0</v>
      </c>
      <c r="K232" t="s">
        <v>19</v>
      </c>
      <c r="L232" s="1">
        <v>0</v>
      </c>
      <c r="M232" t="s">
        <v>19</v>
      </c>
      <c r="N232" s="1">
        <v>0</v>
      </c>
      <c r="O232" t="s">
        <v>19</v>
      </c>
      <c r="P232" s="1">
        <f t="shared" si="3"/>
        <v>0.26</v>
      </c>
    </row>
    <row r="233" spans="1:16" x14ac:dyDescent="0.25">
      <c r="A233" t="s">
        <v>11</v>
      </c>
      <c r="B233" t="s">
        <v>165</v>
      </c>
      <c r="C233" t="s">
        <v>28</v>
      </c>
      <c r="D233" t="s">
        <v>14</v>
      </c>
      <c r="E233" t="s">
        <v>15</v>
      </c>
      <c r="F233" s="1">
        <v>40</v>
      </c>
      <c r="G233" t="s">
        <v>33</v>
      </c>
      <c r="H233" s="1">
        <v>0</v>
      </c>
      <c r="I233" t="s">
        <v>19</v>
      </c>
      <c r="J233" s="1">
        <v>10.1</v>
      </c>
      <c r="L233" s="1">
        <v>3.5</v>
      </c>
      <c r="N233" s="1">
        <v>0</v>
      </c>
      <c r="P233" s="1">
        <f t="shared" si="3"/>
        <v>53.6</v>
      </c>
    </row>
    <row r="234" spans="1:16" x14ac:dyDescent="0.25">
      <c r="A234" t="s">
        <v>11</v>
      </c>
      <c r="B234" t="s">
        <v>166</v>
      </c>
      <c r="C234" t="s">
        <v>28</v>
      </c>
      <c r="D234" t="s">
        <v>14</v>
      </c>
      <c r="E234" t="s">
        <v>15</v>
      </c>
      <c r="F234" s="1">
        <v>0</v>
      </c>
      <c r="G234" t="s">
        <v>19</v>
      </c>
      <c r="H234" s="1">
        <v>2.44</v>
      </c>
      <c r="J234" s="1">
        <v>36.200000000000003</v>
      </c>
      <c r="L234" s="1">
        <v>18.16</v>
      </c>
      <c r="N234" s="1">
        <v>27.15</v>
      </c>
      <c r="P234" s="1">
        <f t="shared" si="3"/>
        <v>83.949999999999989</v>
      </c>
    </row>
    <row r="235" spans="1:16" x14ac:dyDescent="0.25">
      <c r="A235" t="s">
        <v>11</v>
      </c>
      <c r="B235" t="s">
        <v>167</v>
      </c>
      <c r="C235" t="s">
        <v>25</v>
      </c>
      <c r="D235" t="s">
        <v>14</v>
      </c>
      <c r="E235" t="s">
        <v>15</v>
      </c>
      <c r="F235" s="1">
        <v>34415.33</v>
      </c>
      <c r="H235" s="1">
        <v>19926.439999999999</v>
      </c>
      <c r="J235" s="1">
        <v>16540.71</v>
      </c>
      <c r="L235" s="1">
        <v>15810.69</v>
      </c>
      <c r="N235" s="1">
        <v>15137.09</v>
      </c>
      <c r="P235" s="1">
        <f t="shared" si="3"/>
        <v>101830.26000000001</v>
      </c>
    </row>
    <row r="236" spans="1:16" x14ac:dyDescent="0.25">
      <c r="A236" t="s">
        <v>11</v>
      </c>
      <c r="B236" t="s">
        <v>167</v>
      </c>
      <c r="C236" t="s">
        <v>28</v>
      </c>
      <c r="D236" t="s">
        <v>14</v>
      </c>
      <c r="E236" t="s">
        <v>15</v>
      </c>
      <c r="F236" s="1">
        <v>101665.12</v>
      </c>
      <c r="H236" s="1">
        <v>42772.79</v>
      </c>
      <c r="J236" s="1">
        <v>60234.86</v>
      </c>
      <c r="L236" s="1">
        <v>79281.399999999994</v>
      </c>
      <c r="N236" s="1">
        <v>80368.47</v>
      </c>
      <c r="P236" s="1">
        <f t="shared" si="3"/>
        <v>364322.64</v>
      </c>
    </row>
    <row r="237" spans="1:16" x14ac:dyDescent="0.25">
      <c r="A237" t="s">
        <v>11</v>
      </c>
      <c r="B237" t="s">
        <v>168</v>
      </c>
      <c r="C237" t="s">
        <v>13</v>
      </c>
      <c r="D237" t="s">
        <v>14</v>
      </c>
      <c r="E237" t="s">
        <v>15</v>
      </c>
      <c r="F237" s="1">
        <v>0</v>
      </c>
      <c r="G237" t="s">
        <v>19</v>
      </c>
      <c r="H237" s="1">
        <v>49.87</v>
      </c>
      <c r="J237" s="1">
        <v>18.989999999999998</v>
      </c>
      <c r="L237" s="1">
        <v>320.7</v>
      </c>
      <c r="N237" s="1">
        <v>62.6</v>
      </c>
      <c r="P237" s="1">
        <f t="shared" si="3"/>
        <v>452.16</v>
      </c>
    </row>
    <row r="238" spans="1:16" x14ac:dyDescent="0.25">
      <c r="A238" t="s">
        <v>11</v>
      </c>
      <c r="B238" t="s">
        <v>168</v>
      </c>
      <c r="C238" t="s">
        <v>25</v>
      </c>
      <c r="D238" t="s">
        <v>14</v>
      </c>
      <c r="E238" t="s">
        <v>15</v>
      </c>
      <c r="F238" s="1">
        <v>0</v>
      </c>
      <c r="G238" t="s">
        <v>19</v>
      </c>
      <c r="H238" s="1">
        <v>991.32</v>
      </c>
      <c r="J238" s="1">
        <v>1833.05</v>
      </c>
      <c r="L238" s="1">
        <v>1187.24</v>
      </c>
      <c r="N238" s="1">
        <v>1194.47</v>
      </c>
      <c r="P238" s="1">
        <f t="shared" si="3"/>
        <v>5206.08</v>
      </c>
    </row>
    <row r="239" spans="1:16" x14ac:dyDescent="0.25">
      <c r="A239" t="s">
        <v>11</v>
      </c>
      <c r="B239" t="s">
        <v>168</v>
      </c>
      <c r="C239" t="s">
        <v>28</v>
      </c>
      <c r="D239" t="s">
        <v>14</v>
      </c>
      <c r="E239" t="s">
        <v>15</v>
      </c>
      <c r="F239" s="1">
        <v>0</v>
      </c>
      <c r="G239" t="s">
        <v>19</v>
      </c>
      <c r="H239" s="1">
        <v>1313.2</v>
      </c>
      <c r="J239" s="1">
        <v>988.69</v>
      </c>
      <c r="L239" s="1">
        <v>1587.2</v>
      </c>
      <c r="N239" s="1">
        <v>3454.98</v>
      </c>
      <c r="P239" s="1">
        <f t="shared" si="3"/>
        <v>7344.07</v>
      </c>
    </row>
    <row r="240" spans="1:16" x14ac:dyDescent="0.25">
      <c r="A240" t="s">
        <v>11</v>
      </c>
      <c r="B240" t="s">
        <v>169</v>
      </c>
      <c r="C240" t="s">
        <v>25</v>
      </c>
      <c r="D240" t="s">
        <v>14</v>
      </c>
      <c r="E240" t="s">
        <v>15</v>
      </c>
      <c r="F240" s="1">
        <v>0</v>
      </c>
      <c r="G240" t="s">
        <v>19</v>
      </c>
      <c r="H240" s="1">
        <v>8820.2000000000007</v>
      </c>
      <c r="J240" s="1">
        <v>10986.81</v>
      </c>
      <c r="L240" s="1">
        <v>9903.59</v>
      </c>
      <c r="N240" s="1">
        <v>12381.38</v>
      </c>
      <c r="P240" s="1">
        <f t="shared" si="3"/>
        <v>42091.98</v>
      </c>
    </row>
    <row r="241" spans="1:16" x14ac:dyDescent="0.25">
      <c r="A241" t="s">
        <v>11</v>
      </c>
      <c r="B241" t="s">
        <v>169</v>
      </c>
      <c r="C241" t="s">
        <v>28</v>
      </c>
      <c r="D241" t="s">
        <v>14</v>
      </c>
      <c r="E241" t="s">
        <v>15</v>
      </c>
      <c r="F241" s="1">
        <v>0</v>
      </c>
      <c r="G241" t="s">
        <v>19</v>
      </c>
      <c r="H241" s="1">
        <v>12802.97</v>
      </c>
      <c r="J241" s="1">
        <v>13859.09</v>
      </c>
      <c r="L241" s="1">
        <v>13003.37</v>
      </c>
      <c r="N241" s="1">
        <v>13146.89</v>
      </c>
      <c r="P241" s="1">
        <f t="shared" si="3"/>
        <v>52812.32</v>
      </c>
    </row>
    <row r="242" spans="1:16" x14ac:dyDescent="0.25">
      <c r="A242" t="s">
        <v>11</v>
      </c>
      <c r="B242" t="s">
        <v>170</v>
      </c>
      <c r="C242" t="s">
        <v>25</v>
      </c>
      <c r="D242" t="s">
        <v>14</v>
      </c>
      <c r="E242" t="s">
        <v>15</v>
      </c>
      <c r="F242" s="1">
        <v>0</v>
      </c>
      <c r="G242" t="s">
        <v>19</v>
      </c>
      <c r="H242" s="1">
        <v>359.53</v>
      </c>
      <c r="J242" s="1">
        <v>450.43</v>
      </c>
      <c r="L242" s="1">
        <v>949.39</v>
      </c>
      <c r="N242" s="1">
        <v>384.89</v>
      </c>
      <c r="P242" s="1">
        <f t="shared" si="3"/>
        <v>2144.2399999999998</v>
      </c>
    </row>
    <row r="243" spans="1:16" x14ac:dyDescent="0.25">
      <c r="A243" t="s">
        <v>11</v>
      </c>
      <c r="B243" t="s">
        <v>170</v>
      </c>
      <c r="C243" t="s">
        <v>28</v>
      </c>
      <c r="D243" t="s">
        <v>14</v>
      </c>
      <c r="E243" t="s">
        <v>15</v>
      </c>
      <c r="F243" s="1">
        <v>0</v>
      </c>
      <c r="G243" t="s">
        <v>19</v>
      </c>
      <c r="H243" s="1">
        <v>113.63</v>
      </c>
      <c r="J243" s="1">
        <v>352.86</v>
      </c>
      <c r="L243" s="1">
        <v>420.47</v>
      </c>
      <c r="N243" s="1">
        <v>759.24</v>
      </c>
      <c r="P243" s="1">
        <f t="shared" si="3"/>
        <v>1646.2</v>
      </c>
    </row>
    <row r="244" spans="1:16" x14ac:dyDescent="0.25">
      <c r="A244" t="s">
        <v>11</v>
      </c>
      <c r="B244" t="s">
        <v>171</v>
      </c>
      <c r="C244" t="s">
        <v>13</v>
      </c>
      <c r="D244" t="s">
        <v>14</v>
      </c>
      <c r="E244" t="s">
        <v>15</v>
      </c>
      <c r="F244" s="1">
        <v>22312.22</v>
      </c>
      <c r="H244" s="1">
        <v>25148.47</v>
      </c>
      <c r="J244" s="1">
        <v>21797.84</v>
      </c>
      <c r="L244" s="1">
        <v>15989.15</v>
      </c>
      <c r="N244" s="1">
        <v>14943.2</v>
      </c>
      <c r="P244" s="1">
        <f t="shared" si="3"/>
        <v>100190.87999999999</v>
      </c>
    </row>
    <row r="245" spans="1:16" x14ac:dyDescent="0.25">
      <c r="A245" t="s">
        <v>11</v>
      </c>
      <c r="B245" t="s">
        <v>172</v>
      </c>
      <c r="C245" t="s">
        <v>13</v>
      </c>
      <c r="D245" t="s">
        <v>14</v>
      </c>
      <c r="E245" t="s">
        <v>15</v>
      </c>
      <c r="F245" s="1">
        <v>0</v>
      </c>
      <c r="G245" t="s">
        <v>19</v>
      </c>
      <c r="H245" s="1">
        <v>1534.56</v>
      </c>
      <c r="J245" s="1">
        <v>1157.54</v>
      </c>
      <c r="L245" s="1">
        <v>3787.99</v>
      </c>
      <c r="N245" s="1">
        <v>4481.76</v>
      </c>
      <c r="P245" s="1">
        <f t="shared" si="3"/>
        <v>10961.85</v>
      </c>
    </row>
    <row r="246" spans="1:16" x14ac:dyDescent="0.25">
      <c r="A246" t="s">
        <v>11</v>
      </c>
      <c r="B246" t="s">
        <v>172</v>
      </c>
      <c r="C246" t="s">
        <v>25</v>
      </c>
      <c r="D246" t="s">
        <v>14</v>
      </c>
      <c r="E246" t="s">
        <v>15</v>
      </c>
      <c r="F246" s="1">
        <v>15240.04</v>
      </c>
      <c r="H246" s="1">
        <v>12158.46</v>
      </c>
      <c r="J246" s="1">
        <v>14531.79</v>
      </c>
      <c r="L246" s="1">
        <v>14906.14</v>
      </c>
      <c r="N246" s="1">
        <v>13777.86</v>
      </c>
      <c r="P246" s="1">
        <f t="shared" si="3"/>
        <v>70614.290000000008</v>
      </c>
    </row>
    <row r="247" spans="1:16" x14ac:dyDescent="0.25">
      <c r="A247" t="s">
        <v>11</v>
      </c>
      <c r="B247" t="s">
        <v>172</v>
      </c>
      <c r="C247" t="s">
        <v>28</v>
      </c>
      <c r="D247" t="s">
        <v>14</v>
      </c>
      <c r="E247" t="s">
        <v>15</v>
      </c>
      <c r="F247" s="1">
        <v>69797.600000000006</v>
      </c>
      <c r="H247" s="1">
        <v>81225.899999999994</v>
      </c>
      <c r="J247" s="1">
        <v>69678.289999999994</v>
      </c>
      <c r="L247" s="1">
        <v>64357.2</v>
      </c>
      <c r="N247" s="1">
        <v>69037.31</v>
      </c>
      <c r="P247" s="1">
        <f t="shared" si="3"/>
        <v>354096.3</v>
      </c>
    </row>
    <row r="248" spans="1:16" x14ac:dyDescent="0.25">
      <c r="A248" t="s">
        <v>11</v>
      </c>
      <c r="B248" t="s">
        <v>173</v>
      </c>
      <c r="C248" t="s">
        <v>25</v>
      </c>
      <c r="D248" t="s">
        <v>14</v>
      </c>
      <c r="E248" t="s">
        <v>15</v>
      </c>
      <c r="F248" s="1">
        <v>33664.36</v>
      </c>
      <c r="H248" s="1">
        <v>40322.49</v>
      </c>
      <c r="J248" s="1">
        <v>57383.39</v>
      </c>
      <c r="L248" s="1">
        <v>45679.48</v>
      </c>
      <c r="N248" s="1">
        <v>52009.01</v>
      </c>
      <c r="P248" s="1">
        <f t="shared" si="3"/>
        <v>229058.73</v>
      </c>
    </row>
    <row r="249" spans="1:16" x14ac:dyDescent="0.25">
      <c r="A249" t="s">
        <v>11</v>
      </c>
      <c r="B249" t="s">
        <v>173</v>
      </c>
      <c r="C249" t="s">
        <v>28</v>
      </c>
      <c r="D249" t="s">
        <v>14</v>
      </c>
      <c r="E249" t="s">
        <v>15</v>
      </c>
      <c r="F249" s="1">
        <v>117286.38</v>
      </c>
      <c r="H249" s="1">
        <v>131997.91</v>
      </c>
      <c r="J249" s="1">
        <v>133632.85</v>
      </c>
      <c r="L249" s="1">
        <v>147762.49</v>
      </c>
      <c r="N249" s="1">
        <v>196015.42</v>
      </c>
      <c r="P249" s="1">
        <f t="shared" si="3"/>
        <v>726695.05</v>
      </c>
    </row>
    <row r="250" spans="1:16" x14ac:dyDescent="0.25">
      <c r="A250" t="s">
        <v>11</v>
      </c>
      <c r="B250" t="s">
        <v>174</v>
      </c>
      <c r="C250" t="s">
        <v>13</v>
      </c>
      <c r="D250" t="s">
        <v>14</v>
      </c>
      <c r="E250" t="s">
        <v>15</v>
      </c>
      <c r="F250" s="1">
        <v>0</v>
      </c>
      <c r="G250" t="s">
        <v>19</v>
      </c>
      <c r="H250" s="1">
        <v>3107.12</v>
      </c>
      <c r="J250" s="1">
        <v>3077.62</v>
      </c>
      <c r="L250" s="1">
        <v>1137.46</v>
      </c>
      <c r="N250" s="1">
        <v>1704.37</v>
      </c>
      <c r="P250" s="1">
        <f t="shared" si="3"/>
        <v>9026.57</v>
      </c>
    </row>
    <row r="251" spans="1:16" x14ac:dyDescent="0.25">
      <c r="A251" t="s">
        <v>11</v>
      </c>
      <c r="B251" t="s">
        <v>175</v>
      </c>
      <c r="C251" t="s">
        <v>25</v>
      </c>
      <c r="D251" t="s">
        <v>14</v>
      </c>
      <c r="E251" t="s">
        <v>15</v>
      </c>
      <c r="F251" s="1">
        <v>3344.95</v>
      </c>
      <c r="H251" s="1">
        <v>2676.22</v>
      </c>
      <c r="J251" s="1">
        <v>3797.47</v>
      </c>
      <c r="L251" s="1">
        <v>20163.580000000002</v>
      </c>
      <c r="N251" s="1">
        <v>4951.0600000000004</v>
      </c>
      <c r="P251" s="1">
        <f t="shared" si="3"/>
        <v>34933.279999999999</v>
      </c>
    </row>
    <row r="252" spans="1:16" x14ac:dyDescent="0.25">
      <c r="A252" t="s">
        <v>11</v>
      </c>
      <c r="B252" t="s">
        <v>175</v>
      </c>
      <c r="C252" t="s">
        <v>28</v>
      </c>
      <c r="D252" t="s">
        <v>14</v>
      </c>
      <c r="E252" t="s">
        <v>15</v>
      </c>
      <c r="F252" s="1">
        <v>18416.63</v>
      </c>
      <c r="H252" s="1">
        <v>7119.37</v>
      </c>
      <c r="J252" s="1">
        <v>4308.37</v>
      </c>
      <c r="L252" s="1">
        <v>7111.53</v>
      </c>
      <c r="N252" s="1">
        <v>6709.02</v>
      </c>
      <c r="P252" s="1">
        <f t="shared" si="3"/>
        <v>43664.92</v>
      </c>
    </row>
    <row r="253" spans="1:16" x14ac:dyDescent="0.25">
      <c r="A253" t="s">
        <v>11</v>
      </c>
      <c r="B253" t="s">
        <v>176</v>
      </c>
      <c r="C253" t="s">
        <v>25</v>
      </c>
      <c r="D253" t="s">
        <v>14</v>
      </c>
      <c r="E253" t="s">
        <v>15</v>
      </c>
      <c r="F253" s="1">
        <v>0</v>
      </c>
      <c r="G253" t="s">
        <v>19</v>
      </c>
      <c r="H253" s="1">
        <v>6521.04</v>
      </c>
      <c r="J253" s="1">
        <v>12166.23</v>
      </c>
      <c r="L253" s="1">
        <v>6580.33</v>
      </c>
      <c r="N253" s="1">
        <v>8710.93</v>
      </c>
      <c r="P253" s="1">
        <f t="shared" si="3"/>
        <v>33978.53</v>
      </c>
    </row>
    <row r="254" spans="1:16" x14ac:dyDescent="0.25">
      <c r="A254" t="s">
        <v>11</v>
      </c>
      <c r="B254" t="s">
        <v>176</v>
      </c>
      <c r="C254" t="s">
        <v>28</v>
      </c>
      <c r="D254" t="s">
        <v>14</v>
      </c>
      <c r="E254" t="s">
        <v>15</v>
      </c>
      <c r="F254" s="1">
        <v>0</v>
      </c>
      <c r="G254" t="s">
        <v>19</v>
      </c>
      <c r="H254" s="1">
        <v>13477.7</v>
      </c>
      <c r="J254" s="1">
        <v>19625.98</v>
      </c>
      <c r="L254" s="1">
        <v>27461.35</v>
      </c>
      <c r="N254" s="1">
        <v>19842.599999999999</v>
      </c>
      <c r="P254" s="1">
        <f t="shared" si="3"/>
        <v>80407.63</v>
      </c>
    </row>
    <row r="255" spans="1:16" x14ac:dyDescent="0.25">
      <c r="A255" t="s">
        <v>11</v>
      </c>
      <c r="B255" t="s">
        <v>177</v>
      </c>
      <c r="C255" t="s">
        <v>13</v>
      </c>
      <c r="D255" t="s">
        <v>90</v>
      </c>
      <c r="E255" t="s">
        <v>15</v>
      </c>
      <c r="F255" s="1">
        <v>905</v>
      </c>
      <c r="H255" s="1">
        <v>1164</v>
      </c>
      <c r="J255" s="1">
        <v>419</v>
      </c>
      <c r="L255" s="1">
        <v>160</v>
      </c>
      <c r="N255" s="1">
        <v>0</v>
      </c>
      <c r="O255" t="s">
        <v>19</v>
      </c>
      <c r="P255" s="1">
        <f t="shared" si="3"/>
        <v>2648</v>
      </c>
    </row>
    <row r="256" spans="1:16" x14ac:dyDescent="0.25">
      <c r="A256" t="s">
        <v>11</v>
      </c>
      <c r="B256" t="s">
        <v>178</v>
      </c>
      <c r="C256" t="s">
        <v>13</v>
      </c>
      <c r="D256" t="s">
        <v>14</v>
      </c>
      <c r="E256" t="s">
        <v>15</v>
      </c>
      <c r="F256" s="1">
        <v>79920.639999999999</v>
      </c>
      <c r="H256" s="1">
        <v>116170.88</v>
      </c>
      <c r="J256" s="1">
        <v>57861.31</v>
      </c>
      <c r="L256" s="1">
        <v>48416.3</v>
      </c>
      <c r="N256" s="1">
        <v>49536.28</v>
      </c>
      <c r="P256" s="1">
        <f t="shared" si="3"/>
        <v>351905.41000000003</v>
      </c>
    </row>
    <row r="257" spans="1:16" x14ac:dyDescent="0.25">
      <c r="A257" t="s">
        <v>11</v>
      </c>
      <c r="B257" t="s">
        <v>179</v>
      </c>
      <c r="C257" t="s">
        <v>13</v>
      </c>
      <c r="D257" t="s">
        <v>14</v>
      </c>
      <c r="E257" t="s">
        <v>15</v>
      </c>
      <c r="F257" s="1">
        <v>8122.54</v>
      </c>
      <c r="H257" s="1">
        <v>12184.5</v>
      </c>
      <c r="J257" s="1">
        <v>13971.43</v>
      </c>
      <c r="L257" s="1">
        <v>11732.43</v>
      </c>
      <c r="N257" s="1">
        <v>11925.56</v>
      </c>
      <c r="P257" s="1">
        <f t="shared" si="3"/>
        <v>57936.46</v>
      </c>
    </row>
    <row r="258" spans="1:16" x14ac:dyDescent="0.25">
      <c r="A258" t="s">
        <v>11</v>
      </c>
      <c r="B258" t="s">
        <v>180</v>
      </c>
      <c r="C258" t="s">
        <v>25</v>
      </c>
      <c r="D258" t="s">
        <v>14</v>
      </c>
      <c r="E258" t="s">
        <v>15</v>
      </c>
      <c r="F258" s="1">
        <v>4948.1899999999996</v>
      </c>
      <c r="H258" s="1">
        <v>4507.01</v>
      </c>
      <c r="J258" s="1">
        <v>10281.74</v>
      </c>
      <c r="L258" s="1">
        <v>8670.44</v>
      </c>
      <c r="N258" s="1">
        <v>6710.52</v>
      </c>
      <c r="P258" s="1">
        <f t="shared" si="3"/>
        <v>35117.900000000009</v>
      </c>
    </row>
    <row r="259" spans="1:16" x14ac:dyDescent="0.25">
      <c r="A259" t="s">
        <v>11</v>
      </c>
      <c r="B259" t="s">
        <v>180</v>
      </c>
      <c r="C259" t="s">
        <v>28</v>
      </c>
      <c r="D259" t="s">
        <v>14</v>
      </c>
      <c r="E259" t="s">
        <v>15</v>
      </c>
      <c r="F259" s="1">
        <v>6698.24</v>
      </c>
      <c r="H259" s="1">
        <v>6987.99</v>
      </c>
      <c r="J259" s="1">
        <v>8888.8799999999992</v>
      </c>
      <c r="L259" s="1">
        <v>10427.92</v>
      </c>
      <c r="N259" s="1">
        <v>10774.25</v>
      </c>
      <c r="P259" s="1">
        <f t="shared" ref="P259:P322" si="4">SUM(F259,H259,J259,L259,N259)</f>
        <v>43777.279999999999</v>
      </c>
    </row>
    <row r="260" spans="1:16" x14ac:dyDescent="0.25">
      <c r="A260" t="s">
        <v>11</v>
      </c>
      <c r="B260" t="s">
        <v>181</v>
      </c>
      <c r="C260" t="s">
        <v>25</v>
      </c>
      <c r="D260" t="s">
        <v>14</v>
      </c>
      <c r="E260" t="s">
        <v>15</v>
      </c>
      <c r="F260" s="1">
        <v>0</v>
      </c>
      <c r="G260" t="s">
        <v>19</v>
      </c>
      <c r="H260" s="1">
        <v>83.28</v>
      </c>
      <c r="J260" s="1">
        <v>182.62</v>
      </c>
      <c r="L260" s="1">
        <v>70.48</v>
      </c>
      <c r="N260" s="1">
        <v>34.47</v>
      </c>
      <c r="P260" s="1">
        <f t="shared" si="4"/>
        <v>370.85</v>
      </c>
    </row>
    <row r="261" spans="1:16" x14ac:dyDescent="0.25">
      <c r="A261" t="s">
        <v>11</v>
      </c>
      <c r="B261" t="s">
        <v>181</v>
      </c>
      <c r="C261" t="s">
        <v>28</v>
      </c>
      <c r="D261" t="s">
        <v>14</v>
      </c>
      <c r="E261" t="s">
        <v>15</v>
      </c>
      <c r="F261" s="1">
        <v>0</v>
      </c>
      <c r="G261" t="s">
        <v>19</v>
      </c>
      <c r="H261" s="1">
        <v>7653.19</v>
      </c>
      <c r="J261" s="1">
        <v>12611.08</v>
      </c>
      <c r="L261" s="1">
        <v>19908.400000000001</v>
      </c>
      <c r="N261" s="1">
        <v>5756.07</v>
      </c>
      <c r="P261" s="1">
        <f t="shared" si="4"/>
        <v>45928.74</v>
      </c>
    </row>
    <row r="262" spans="1:16" x14ac:dyDescent="0.25">
      <c r="A262" t="s">
        <v>11</v>
      </c>
      <c r="B262" t="s">
        <v>182</v>
      </c>
      <c r="C262" t="s">
        <v>13</v>
      </c>
      <c r="D262" t="s">
        <v>14</v>
      </c>
      <c r="E262" t="s">
        <v>15</v>
      </c>
      <c r="F262" s="1">
        <v>0</v>
      </c>
      <c r="G262" t="s">
        <v>19</v>
      </c>
      <c r="H262" s="1">
        <v>21683.01</v>
      </c>
      <c r="J262" s="1">
        <v>21099.08</v>
      </c>
      <c r="L262" s="1">
        <v>15261.14</v>
      </c>
      <c r="N262" s="1">
        <v>17298.28</v>
      </c>
      <c r="P262" s="1">
        <f t="shared" si="4"/>
        <v>75341.509999999995</v>
      </c>
    </row>
    <row r="263" spans="1:16" x14ac:dyDescent="0.25">
      <c r="A263" t="s">
        <v>11</v>
      </c>
      <c r="B263" t="s">
        <v>183</v>
      </c>
      <c r="C263" t="s">
        <v>25</v>
      </c>
      <c r="D263" t="s">
        <v>14</v>
      </c>
      <c r="E263" t="s">
        <v>15</v>
      </c>
      <c r="F263" s="1">
        <v>0</v>
      </c>
      <c r="G263" t="s">
        <v>19</v>
      </c>
      <c r="H263" s="1">
        <v>856.8</v>
      </c>
      <c r="J263" s="1">
        <v>479.35</v>
      </c>
      <c r="L263" s="1">
        <v>364.14</v>
      </c>
      <c r="N263" s="1">
        <v>539.34</v>
      </c>
      <c r="P263" s="1">
        <f t="shared" si="4"/>
        <v>2239.63</v>
      </c>
    </row>
    <row r="264" spans="1:16" x14ac:dyDescent="0.25">
      <c r="A264" t="s">
        <v>11</v>
      </c>
      <c r="B264" t="s">
        <v>183</v>
      </c>
      <c r="C264" t="s">
        <v>28</v>
      </c>
      <c r="D264" t="s">
        <v>14</v>
      </c>
      <c r="E264" t="s">
        <v>15</v>
      </c>
      <c r="F264" s="1">
        <v>0</v>
      </c>
      <c r="G264" t="s">
        <v>19</v>
      </c>
      <c r="H264" s="1">
        <v>5399.48</v>
      </c>
      <c r="J264" s="1">
        <v>9408.98</v>
      </c>
      <c r="L264" s="1">
        <v>12462.54</v>
      </c>
      <c r="N264" s="1">
        <v>21760.81</v>
      </c>
      <c r="P264" s="1">
        <f t="shared" si="4"/>
        <v>49031.81</v>
      </c>
    </row>
    <row r="265" spans="1:16" x14ac:dyDescent="0.25">
      <c r="A265" t="s">
        <v>11</v>
      </c>
      <c r="B265" t="s">
        <v>184</v>
      </c>
      <c r="C265" t="s">
        <v>25</v>
      </c>
      <c r="D265" t="s">
        <v>14</v>
      </c>
      <c r="E265" t="s">
        <v>15</v>
      </c>
      <c r="F265" s="1">
        <v>10</v>
      </c>
      <c r="G265" t="s">
        <v>33</v>
      </c>
      <c r="H265" s="1">
        <v>10</v>
      </c>
      <c r="I265" t="s">
        <v>33</v>
      </c>
      <c r="J265" s="1">
        <v>10</v>
      </c>
      <c r="K265" t="s">
        <v>33</v>
      </c>
      <c r="L265" s="1">
        <v>10</v>
      </c>
      <c r="M265" t="s">
        <v>33</v>
      </c>
      <c r="N265" s="1">
        <v>10</v>
      </c>
      <c r="O265" t="s">
        <v>33</v>
      </c>
      <c r="P265" s="1">
        <f t="shared" si="4"/>
        <v>50</v>
      </c>
    </row>
    <row r="266" spans="1:16" x14ac:dyDescent="0.25">
      <c r="A266" t="s">
        <v>11</v>
      </c>
      <c r="B266" t="s">
        <v>184</v>
      </c>
      <c r="C266" t="s">
        <v>28</v>
      </c>
      <c r="D266" t="s">
        <v>14</v>
      </c>
      <c r="E266" t="s">
        <v>15</v>
      </c>
      <c r="F266" s="1">
        <v>1000</v>
      </c>
      <c r="G266" t="s">
        <v>33</v>
      </c>
      <c r="H266" s="1">
        <v>1000</v>
      </c>
      <c r="I266" t="s">
        <v>33</v>
      </c>
      <c r="J266" s="1">
        <v>1000</v>
      </c>
      <c r="K266" t="s">
        <v>33</v>
      </c>
      <c r="L266" s="1">
        <v>1000</v>
      </c>
      <c r="M266" t="s">
        <v>33</v>
      </c>
      <c r="N266" s="1">
        <v>1000</v>
      </c>
      <c r="O266" t="s">
        <v>33</v>
      </c>
      <c r="P266" s="1">
        <f t="shared" si="4"/>
        <v>5000</v>
      </c>
    </row>
    <row r="267" spans="1:16" x14ac:dyDescent="0.25">
      <c r="A267" t="s">
        <v>11</v>
      </c>
      <c r="B267" t="s">
        <v>185</v>
      </c>
      <c r="C267" t="s">
        <v>25</v>
      </c>
      <c r="D267" t="s">
        <v>14</v>
      </c>
      <c r="E267" t="s">
        <v>15</v>
      </c>
      <c r="F267" s="1">
        <v>0</v>
      </c>
      <c r="G267" t="s">
        <v>19</v>
      </c>
      <c r="H267" s="1">
        <v>12474.94</v>
      </c>
      <c r="J267" s="1">
        <v>14670</v>
      </c>
      <c r="L267" s="1">
        <v>15332.69</v>
      </c>
      <c r="N267" s="1">
        <v>12883.41</v>
      </c>
      <c r="P267" s="1">
        <f t="shared" si="4"/>
        <v>55361.040000000008</v>
      </c>
    </row>
    <row r="268" spans="1:16" x14ac:dyDescent="0.25">
      <c r="A268" t="s">
        <v>11</v>
      </c>
      <c r="B268" t="s">
        <v>185</v>
      </c>
      <c r="C268" t="s">
        <v>28</v>
      </c>
      <c r="D268" t="s">
        <v>14</v>
      </c>
      <c r="E268" t="s">
        <v>15</v>
      </c>
      <c r="F268" s="1">
        <v>0</v>
      </c>
      <c r="G268" t="s">
        <v>19</v>
      </c>
      <c r="H268" s="1">
        <v>37651.42</v>
      </c>
      <c r="J268" s="1">
        <v>37929.03</v>
      </c>
      <c r="L268" s="1">
        <v>46830.02</v>
      </c>
      <c r="N268" s="1">
        <v>42114.43</v>
      </c>
      <c r="P268" s="1">
        <f t="shared" si="4"/>
        <v>164524.9</v>
      </c>
    </row>
    <row r="269" spans="1:16" x14ac:dyDescent="0.25">
      <c r="A269" t="s">
        <v>11</v>
      </c>
      <c r="B269" t="s">
        <v>186</v>
      </c>
      <c r="C269" t="s">
        <v>25</v>
      </c>
      <c r="D269" t="s">
        <v>14</v>
      </c>
      <c r="E269" t="s">
        <v>15</v>
      </c>
      <c r="F269" s="1">
        <v>143.97</v>
      </c>
      <c r="H269" s="1">
        <v>0</v>
      </c>
      <c r="I269" t="s">
        <v>19</v>
      </c>
      <c r="J269" s="1">
        <v>0</v>
      </c>
      <c r="K269" t="s">
        <v>19</v>
      </c>
      <c r="L269" s="1">
        <v>0</v>
      </c>
      <c r="M269" t="s">
        <v>19</v>
      </c>
      <c r="N269" s="1">
        <v>0</v>
      </c>
      <c r="O269" t="s">
        <v>19</v>
      </c>
      <c r="P269" s="1">
        <f t="shared" si="4"/>
        <v>143.97</v>
      </c>
    </row>
    <row r="270" spans="1:16" x14ac:dyDescent="0.25">
      <c r="A270" t="s">
        <v>11</v>
      </c>
      <c r="B270" t="s">
        <v>186</v>
      </c>
      <c r="C270" t="s">
        <v>28</v>
      </c>
      <c r="D270" t="s">
        <v>14</v>
      </c>
      <c r="E270" t="s">
        <v>15</v>
      </c>
      <c r="F270" s="1">
        <v>222.17</v>
      </c>
      <c r="H270" s="1">
        <v>0</v>
      </c>
      <c r="I270" t="s">
        <v>19</v>
      </c>
      <c r="J270" s="1">
        <v>0</v>
      </c>
      <c r="K270" t="s">
        <v>19</v>
      </c>
      <c r="L270" s="1">
        <v>0</v>
      </c>
      <c r="M270" t="s">
        <v>19</v>
      </c>
      <c r="N270" s="1">
        <v>0</v>
      </c>
      <c r="O270" t="s">
        <v>19</v>
      </c>
      <c r="P270" s="1">
        <f t="shared" si="4"/>
        <v>222.17</v>
      </c>
    </row>
    <row r="271" spans="1:16" x14ac:dyDescent="0.25">
      <c r="A271" t="s">
        <v>11</v>
      </c>
      <c r="B271" t="s">
        <v>187</v>
      </c>
      <c r="C271" t="s">
        <v>25</v>
      </c>
      <c r="D271" t="s">
        <v>14</v>
      </c>
      <c r="E271" t="s">
        <v>15</v>
      </c>
      <c r="F271" s="1">
        <v>0</v>
      </c>
      <c r="G271" t="s">
        <v>19</v>
      </c>
      <c r="H271" s="1">
        <v>39.51</v>
      </c>
      <c r="J271" s="1">
        <v>44.18</v>
      </c>
      <c r="L271" s="1">
        <v>35.32</v>
      </c>
      <c r="N271" s="1">
        <v>21.57</v>
      </c>
      <c r="P271" s="1">
        <f t="shared" si="4"/>
        <v>140.57999999999998</v>
      </c>
    </row>
    <row r="272" spans="1:16" x14ac:dyDescent="0.25">
      <c r="A272" t="s">
        <v>11</v>
      </c>
      <c r="B272" t="s">
        <v>187</v>
      </c>
      <c r="C272" t="s">
        <v>28</v>
      </c>
      <c r="D272" t="s">
        <v>14</v>
      </c>
      <c r="E272" t="s">
        <v>15</v>
      </c>
      <c r="F272" s="1">
        <v>0</v>
      </c>
      <c r="G272" t="s">
        <v>19</v>
      </c>
      <c r="H272" s="1">
        <v>8909</v>
      </c>
      <c r="J272" s="1">
        <v>10079.11</v>
      </c>
      <c r="L272" s="1">
        <v>6740.01</v>
      </c>
      <c r="N272" s="1">
        <v>750.71</v>
      </c>
      <c r="P272" s="1">
        <f t="shared" si="4"/>
        <v>26478.83</v>
      </c>
    </row>
    <row r="273" spans="1:16" x14ac:dyDescent="0.25">
      <c r="A273" t="s">
        <v>11</v>
      </c>
      <c r="B273" t="s">
        <v>188</v>
      </c>
      <c r="C273" t="s">
        <v>25</v>
      </c>
      <c r="D273" t="s">
        <v>14</v>
      </c>
      <c r="E273" t="s">
        <v>15</v>
      </c>
      <c r="F273" s="1">
        <v>19257.3</v>
      </c>
      <c r="H273" s="1">
        <v>24472.52</v>
      </c>
      <c r="J273" s="1">
        <v>11917.47</v>
      </c>
      <c r="L273" s="1">
        <v>16766.689999999999</v>
      </c>
      <c r="N273" s="1">
        <v>17990.740000000002</v>
      </c>
      <c r="P273" s="1">
        <f t="shared" si="4"/>
        <v>90404.72</v>
      </c>
    </row>
    <row r="274" spans="1:16" x14ac:dyDescent="0.25">
      <c r="A274" t="s">
        <v>11</v>
      </c>
      <c r="B274" t="s">
        <v>188</v>
      </c>
      <c r="C274" t="s">
        <v>28</v>
      </c>
      <c r="D274" t="s">
        <v>14</v>
      </c>
      <c r="E274" t="s">
        <v>15</v>
      </c>
      <c r="F274" s="1">
        <v>42076.02</v>
      </c>
      <c r="H274" s="1">
        <v>64653.46</v>
      </c>
      <c r="J274" s="1">
        <v>65949.87</v>
      </c>
      <c r="L274" s="1">
        <v>85699.85</v>
      </c>
      <c r="N274" s="1">
        <v>87275.26</v>
      </c>
      <c r="P274" s="1">
        <f t="shared" si="4"/>
        <v>345654.45999999996</v>
      </c>
    </row>
    <row r="275" spans="1:16" x14ac:dyDescent="0.25">
      <c r="A275" t="s">
        <v>11</v>
      </c>
      <c r="B275" t="s">
        <v>189</v>
      </c>
      <c r="C275" t="s">
        <v>25</v>
      </c>
      <c r="D275" t="s">
        <v>14</v>
      </c>
      <c r="E275" t="s">
        <v>15</v>
      </c>
      <c r="F275" s="1">
        <v>0</v>
      </c>
      <c r="G275" t="s">
        <v>19</v>
      </c>
      <c r="H275" s="1">
        <v>9146.91</v>
      </c>
      <c r="J275" s="1">
        <v>8865.5400000000009</v>
      </c>
      <c r="L275" s="1">
        <v>7989.85</v>
      </c>
      <c r="N275" s="1">
        <v>8617.7900000000009</v>
      </c>
      <c r="P275" s="1">
        <f t="shared" si="4"/>
        <v>34620.090000000004</v>
      </c>
    </row>
    <row r="276" spans="1:16" x14ac:dyDescent="0.25">
      <c r="A276" t="s">
        <v>11</v>
      </c>
      <c r="B276" t="s">
        <v>189</v>
      </c>
      <c r="C276" t="s">
        <v>28</v>
      </c>
      <c r="D276" t="s">
        <v>14</v>
      </c>
      <c r="E276" t="s">
        <v>15</v>
      </c>
      <c r="F276" s="1">
        <v>0</v>
      </c>
      <c r="G276" t="s">
        <v>19</v>
      </c>
      <c r="H276" s="1">
        <v>11979.33</v>
      </c>
      <c r="J276" s="1">
        <v>10452.58</v>
      </c>
      <c r="L276" s="1">
        <v>16344.95</v>
      </c>
      <c r="N276" s="1">
        <v>14049.34</v>
      </c>
      <c r="P276" s="1">
        <f t="shared" si="4"/>
        <v>52826.2</v>
      </c>
    </row>
    <row r="277" spans="1:16" x14ac:dyDescent="0.25">
      <c r="A277" t="s">
        <v>11</v>
      </c>
      <c r="B277" t="s">
        <v>190</v>
      </c>
      <c r="C277" t="s">
        <v>25</v>
      </c>
      <c r="D277" t="s">
        <v>14</v>
      </c>
      <c r="E277" t="s">
        <v>15</v>
      </c>
      <c r="F277" s="1">
        <v>7120.6</v>
      </c>
      <c r="H277" s="1">
        <v>6731.27</v>
      </c>
      <c r="J277" s="1">
        <v>6455.25</v>
      </c>
      <c r="L277" s="1">
        <v>5863.22</v>
      </c>
      <c r="N277" s="1">
        <v>6250.37</v>
      </c>
      <c r="P277" s="1">
        <f t="shared" si="4"/>
        <v>32420.710000000003</v>
      </c>
    </row>
    <row r="278" spans="1:16" x14ac:dyDescent="0.25">
      <c r="A278" t="s">
        <v>11</v>
      </c>
      <c r="B278" t="s">
        <v>190</v>
      </c>
      <c r="C278" t="s">
        <v>28</v>
      </c>
      <c r="D278" t="s">
        <v>14</v>
      </c>
      <c r="E278" t="s">
        <v>15</v>
      </c>
      <c r="F278" s="1">
        <v>18481.580000000002</v>
      </c>
      <c r="H278" s="1">
        <v>17620.16</v>
      </c>
      <c r="J278" s="1">
        <v>20597.53</v>
      </c>
      <c r="L278" s="1">
        <v>26299.58</v>
      </c>
      <c r="N278" s="1">
        <v>18365.09</v>
      </c>
      <c r="P278" s="1">
        <f t="shared" si="4"/>
        <v>101363.94</v>
      </c>
    </row>
    <row r="279" spans="1:16" x14ac:dyDescent="0.25">
      <c r="A279" t="s">
        <v>11</v>
      </c>
      <c r="B279" t="s">
        <v>191</v>
      </c>
      <c r="C279" t="s">
        <v>25</v>
      </c>
      <c r="D279" t="s">
        <v>14</v>
      </c>
      <c r="E279" t="s">
        <v>15</v>
      </c>
      <c r="F279" s="1">
        <v>2009.53</v>
      </c>
      <c r="H279" s="1">
        <v>4563.13</v>
      </c>
      <c r="J279" s="1">
        <v>2216.0700000000002</v>
      </c>
      <c r="L279" s="1">
        <v>2053.7199999999998</v>
      </c>
      <c r="N279" s="1">
        <v>3826.59</v>
      </c>
      <c r="P279" s="1">
        <f t="shared" si="4"/>
        <v>14669.039999999999</v>
      </c>
    </row>
    <row r="280" spans="1:16" x14ac:dyDescent="0.25">
      <c r="A280" t="s">
        <v>11</v>
      </c>
      <c r="B280" t="s">
        <v>191</v>
      </c>
      <c r="C280" t="s">
        <v>28</v>
      </c>
      <c r="D280" t="s">
        <v>14</v>
      </c>
      <c r="E280" t="s">
        <v>15</v>
      </c>
      <c r="F280" s="1">
        <v>5493.64</v>
      </c>
      <c r="H280" s="1">
        <v>11942.8</v>
      </c>
      <c r="J280" s="1">
        <v>8116.78</v>
      </c>
      <c r="L280" s="1">
        <v>8439.11</v>
      </c>
      <c r="N280" s="1">
        <v>16448.419999999998</v>
      </c>
      <c r="P280" s="1">
        <f t="shared" si="4"/>
        <v>50440.75</v>
      </c>
    </row>
    <row r="281" spans="1:16" x14ac:dyDescent="0.25">
      <c r="A281" t="s">
        <v>11</v>
      </c>
      <c r="B281" t="s">
        <v>192</v>
      </c>
      <c r="C281" t="s">
        <v>25</v>
      </c>
      <c r="D281" t="s">
        <v>14</v>
      </c>
      <c r="E281" t="s">
        <v>15</v>
      </c>
      <c r="F281" s="1">
        <v>4244.8500000000004</v>
      </c>
      <c r="H281" s="1">
        <v>8192.0300000000007</v>
      </c>
      <c r="J281" s="1">
        <v>7424.68</v>
      </c>
      <c r="L281" s="1">
        <v>4912.82</v>
      </c>
      <c r="N281" s="1">
        <v>4088.4</v>
      </c>
      <c r="P281" s="1">
        <f t="shared" si="4"/>
        <v>28862.780000000002</v>
      </c>
    </row>
    <row r="282" spans="1:16" x14ac:dyDescent="0.25">
      <c r="A282" t="s">
        <v>11</v>
      </c>
      <c r="B282" t="s">
        <v>192</v>
      </c>
      <c r="C282" t="s">
        <v>28</v>
      </c>
      <c r="D282" t="s">
        <v>14</v>
      </c>
      <c r="E282" t="s">
        <v>15</v>
      </c>
      <c r="F282" s="1">
        <v>9830.42</v>
      </c>
      <c r="H282" s="1">
        <v>10450.02</v>
      </c>
      <c r="J282" s="1">
        <v>15702.01</v>
      </c>
      <c r="L282" s="1">
        <v>11470.48</v>
      </c>
      <c r="N282" s="1">
        <v>8518.57</v>
      </c>
      <c r="P282" s="1">
        <f t="shared" si="4"/>
        <v>55971.500000000007</v>
      </c>
    </row>
    <row r="283" spans="1:16" x14ac:dyDescent="0.25">
      <c r="A283" t="s">
        <v>11</v>
      </c>
      <c r="B283" t="s">
        <v>193</v>
      </c>
      <c r="C283" t="s">
        <v>25</v>
      </c>
      <c r="D283" t="s">
        <v>14</v>
      </c>
      <c r="E283" t="s">
        <v>15</v>
      </c>
      <c r="F283" s="1">
        <v>29080.01</v>
      </c>
      <c r="H283" s="1">
        <v>0</v>
      </c>
      <c r="I283" t="s">
        <v>19</v>
      </c>
      <c r="J283" s="1">
        <v>0</v>
      </c>
      <c r="K283" t="s">
        <v>19</v>
      </c>
      <c r="L283" s="1">
        <v>0</v>
      </c>
      <c r="M283" t="s">
        <v>19</v>
      </c>
      <c r="N283" s="1">
        <v>0</v>
      </c>
      <c r="O283" t="s">
        <v>19</v>
      </c>
      <c r="P283" s="1">
        <f t="shared" si="4"/>
        <v>29080.01</v>
      </c>
    </row>
    <row r="284" spans="1:16" x14ac:dyDescent="0.25">
      <c r="A284" t="s">
        <v>11</v>
      </c>
      <c r="B284" t="s">
        <v>193</v>
      </c>
      <c r="C284" t="s">
        <v>28</v>
      </c>
      <c r="D284" t="s">
        <v>14</v>
      </c>
      <c r="E284" t="s">
        <v>15</v>
      </c>
      <c r="F284" s="1">
        <v>28017.5</v>
      </c>
      <c r="H284" s="1">
        <v>7025.17</v>
      </c>
      <c r="J284" s="1">
        <v>11590.68</v>
      </c>
      <c r="L284" s="1">
        <v>9533.34</v>
      </c>
      <c r="N284" s="1">
        <v>10393.85</v>
      </c>
      <c r="P284" s="1">
        <f t="shared" si="4"/>
        <v>66560.540000000008</v>
      </c>
    </row>
    <row r="285" spans="1:16" x14ac:dyDescent="0.25">
      <c r="A285" t="s">
        <v>11</v>
      </c>
      <c r="B285" t="s">
        <v>194</v>
      </c>
      <c r="C285" t="s">
        <v>25</v>
      </c>
      <c r="D285" t="s">
        <v>14</v>
      </c>
      <c r="E285" t="s">
        <v>15</v>
      </c>
      <c r="F285" s="1">
        <v>0</v>
      </c>
      <c r="G285" t="s">
        <v>19</v>
      </c>
      <c r="H285" s="1">
        <v>0.95</v>
      </c>
      <c r="J285" s="1">
        <v>4.45</v>
      </c>
      <c r="L285" s="1">
        <v>50.46</v>
      </c>
      <c r="N285" s="1">
        <v>33.630000000000003</v>
      </c>
      <c r="P285" s="1">
        <f t="shared" si="4"/>
        <v>89.490000000000009</v>
      </c>
    </row>
    <row r="286" spans="1:16" x14ac:dyDescent="0.25">
      <c r="A286" t="s">
        <v>11</v>
      </c>
      <c r="B286" t="s">
        <v>194</v>
      </c>
      <c r="C286" t="s">
        <v>28</v>
      </c>
      <c r="D286" t="s">
        <v>14</v>
      </c>
      <c r="E286" t="s">
        <v>15</v>
      </c>
      <c r="F286" s="1">
        <v>0</v>
      </c>
      <c r="G286" t="s">
        <v>19</v>
      </c>
      <c r="H286" s="1">
        <v>124.49</v>
      </c>
      <c r="J286" s="1">
        <v>1089.23</v>
      </c>
      <c r="L286" s="1">
        <v>658.78</v>
      </c>
      <c r="N286" s="1">
        <v>672.02</v>
      </c>
      <c r="P286" s="1">
        <f t="shared" si="4"/>
        <v>2544.52</v>
      </c>
    </row>
    <row r="287" spans="1:16" x14ac:dyDescent="0.25">
      <c r="A287" t="s">
        <v>11</v>
      </c>
      <c r="B287" t="s">
        <v>195</v>
      </c>
      <c r="C287" t="s">
        <v>13</v>
      </c>
      <c r="D287" t="s">
        <v>14</v>
      </c>
      <c r="E287" t="s">
        <v>15</v>
      </c>
      <c r="F287" s="1">
        <v>0</v>
      </c>
      <c r="G287" t="s">
        <v>19</v>
      </c>
      <c r="H287" s="1">
        <v>961.65</v>
      </c>
      <c r="J287" s="1">
        <v>433.65</v>
      </c>
      <c r="L287" s="1">
        <v>657.62</v>
      </c>
      <c r="N287" s="1">
        <v>690.55</v>
      </c>
      <c r="P287" s="1">
        <f t="shared" si="4"/>
        <v>2743.4700000000003</v>
      </c>
    </row>
    <row r="288" spans="1:16" x14ac:dyDescent="0.25">
      <c r="A288" t="s">
        <v>11</v>
      </c>
      <c r="B288" t="s">
        <v>196</v>
      </c>
      <c r="C288" t="s">
        <v>25</v>
      </c>
      <c r="D288" t="s">
        <v>14</v>
      </c>
      <c r="E288" t="s">
        <v>15</v>
      </c>
      <c r="F288" s="1">
        <v>22000</v>
      </c>
      <c r="G288" t="s">
        <v>33</v>
      </c>
      <c r="H288" s="1">
        <v>22000</v>
      </c>
      <c r="I288" t="s">
        <v>33</v>
      </c>
      <c r="J288" s="1">
        <v>22000</v>
      </c>
      <c r="K288" t="s">
        <v>33</v>
      </c>
      <c r="L288" s="1">
        <v>15000</v>
      </c>
      <c r="M288" t="s">
        <v>33</v>
      </c>
      <c r="N288" s="1">
        <v>22000</v>
      </c>
      <c r="O288" t="s">
        <v>33</v>
      </c>
      <c r="P288" s="1">
        <f t="shared" si="4"/>
        <v>103000</v>
      </c>
    </row>
    <row r="289" spans="1:16" x14ac:dyDescent="0.25">
      <c r="A289" t="s">
        <v>11</v>
      </c>
      <c r="B289" t="s">
        <v>196</v>
      </c>
      <c r="C289" t="s">
        <v>28</v>
      </c>
      <c r="D289" t="s">
        <v>14</v>
      </c>
      <c r="E289" t="s">
        <v>15</v>
      </c>
      <c r="F289" s="1">
        <v>20000</v>
      </c>
      <c r="G289" t="s">
        <v>33</v>
      </c>
      <c r="H289" s="1">
        <v>20000</v>
      </c>
      <c r="I289" t="s">
        <v>33</v>
      </c>
      <c r="J289" s="1">
        <v>20000</v>
      </c>
      <c r="K289" t="s">
        <v>33</v>
      </c>
      <c r="L289" s="1">
        <v>18000</v>
      </c>
      <c r="M289" t="s">
        <v>33</v>
      </c>
      <c r="N289" s="1">
        <v>20000</v>
      </c>
      <c r="O289" t="s">
        <v>33</v>
      </c>
      <c r="P289" s="1">
        <f t="shared" si="4"/>
        <v>98000</v>
      </c>
    </row>
    <row r="290" spans="1:16" x14ac:dyDescent="0.25">
      <c r="A290" t="s">
        <v>11</v>
      </c>
      <c r="B290" t="s">
        <v>197</v>
      </c>
      <c r="C290" t="s">
        <v>28</v>
      </c>
      <c r="D290" t="s">
        <v>14</v>
      </c>
      <c r="E290" t="s">
        <v>15</v>
      </c>
      <c r="F290" s="1">
        <v>4486.6000000000004</v>
      </c>
      <c r="H290" s="1">
        <v>12186.23</v>
      </c>
      <c r="J290" s="1">
        <v>18088.88</v>
      </c>
      <c r="L290" s="1">
        <v>16751.21</v>
      </c>
      <c r="N290" s="1">
        <v>10495.42</v>
      </c>
      <c r="P290" s="1">
        <f t="shared" si="4"/>
        <v>62008.340000000004</v>
      </c>
    </row>
    <row r="291" spans="1:16" x14ac:dyDescent="0.25">
      <c r="A291" t="s">
        <v>11</v>
      </c>
      <c r="B291" t="s">
        <v>198</v>
      </c>
      <c r="C291" t="s">
        <v>25</v>
      </c>
      <c r="D291" t="s">
        <v>14</v>
      </c>
      <c r="E291" t="s">
        <v>15</v>
      </c>
      <c r="F291" s="1">
        <v>0</v>
      </c>
      <c r="G291" t="s">
        <v>19</v>
      </c>
      <c r="H291" s="1">
        <v>77.8</v>
      </c>
      <c r="J291" s="1">
        <v>162.65</v>
      </c>
      <c r="L291" s="1">
        <v>36.450000000000003</v>
      </c>
      <c r="N291" s="1">
        <v>27.43</v>
      </c>
      <c r="P291" s="1">
        <f t="shared" si="4"/>
        <v>304.33</v>
      </c>
    </row>
    <row r="292" spans="1:16" x14ac:dyDescent="0.25">
      <c r="A292" t="s">
        <v>11</v>
      </c>
      <c r="B292" t="s">
        <v>198</v>
      </c>
      <c r="C292" t="s">
        <v>28</v>
      </c>
      <c r="D292" t="s">
        <v>14</v>
      </c>
      <c r="E292" t="s">
        <v>15</v>
      </c>
      <c r="F292" s="1">
        <v>0</v>
      </c>
      <c r="G292" t="s">
        <v>19</v>
      </c>
      <c r="H292" s="1">
        <v>1361.75</v>
      </c>
      <c r="J292" s="1">
        <v>1564.58</v>
      </c>
      <c r="L292" s="1">
        <v>632.98</v>
      </c>
      <c r="N292" s="1">
        <v>155.63</v>
      </c>
      <c r="P292" s="1">
        <f t="shared" si="4"/>
        <v>3714.94</v>
      </c>
    </row>
    <row r="293" spans="1:16" x14ac:dyDescent="0.25">
      <c r="A293" t="s">
        <v>11</v>
      </c>
      <c r="B293" t="s">
        <v>199</v>
      </c>
      <c r="C293" t="s">
        <v>13</v>
      </c>
      <c r="D293" t="s">
        <v>14</v>
      </c>
      <c r="E293" t="s">
        <v>15</v>
      </c>
      <c r="F293" s="1">
        <v>60</v>
      </c>
      <c r="G293" t="s">
        <v>33</v>
      </c>
      <c r="H293" s="1">
        <v>0</v>
      </c>
      <c r="I293" t="s">
        <v>19</v>
      </c>
      <c r="J293" s="1">
        <v>0</v>
      </c>
      <c r="K293" t="s">
        <v>19</v>
      </c>
      <c r="L293" s="1">
        <v>0</v>
      </c>
      <c r="M293" t="s">
        <v>19</v>
      </c>
      <c r="N293" s="1">
        <v>0</v>
      </c>
      <c r="O293" t="s">
        <v>19</v>
      </c>
      <c r="P293" s="1">
        <f t="shared" si="4"/>
        <v>60</v>
      </c>
    </row>
    <row r="294" spans="1:16" x14ac:dyDescent="0.25">
      <c r="A294" t="s">
        <v>11</v>
      </c>
      <c r="B294" t="s">
        <v>200</v>
      </c>
      <c r="C294" t="s">
        <v>13</v>
      </c>
      <c r="D294" t="s">
        <v>14</v>
      </c>
      <c r="E294" t="s">
        <v>15</v>
      </c>
      <c r="F294" s="1">
        <v>4940.25</v>
      </c>
      <c r="H294" s="1">
        <v>3122.71</v>
      </c>
      <c r="J294" s="1">
        <v>3541.56</v>
      </c>
      <c r="L294" s="1">
        <v>3403.06</v>
      </c>
      <c r="N294" s="1">
        <v>780.37</v>
      </c>
      <c r="P294" s="1">
        <f t="shared" si="4"/>
        <v>15787.95</v>
      </c>
    </row>
    <row r="295" spans="1:16" x14ac:dyDescent="0.25">
      <c r="A295" t="s">
        <v>11</v>
      </c>
      <c r="B295" t="s">
        <v>201</v>
      </c>
      <c r="C295" t="s">
        <v>13</v>
      </c>
      <c r="D295" t="s">
        <v>14</v>
      </c>
      <c r="E295" t="s">
        <v>15</v>
      </c>
      <c r="F295" s="1">
        <v>0</v>
      </c>
      <c r="G295" t="s">
        <v>19</v>
      </c>
      <c r="H295" s="1">
        <v>212.29</v>
      </c>
      <c r="J295" s="1">
        <v>823.07</v>
      </c>
      <c r="L295" s="1">
        <v>284.10000000000002</v>
      </c>
      <c r="N295" s="1">
        <v>350.92</v>
      </c>
      <c r="P295" s="1">
        <f t="shared" si="4"/>
        <v>1670.38</v>
      </c>
    </row>
    <row r="296" spans="1:16" x14ac:dyDescent="0.25">
      <c r="A296" t="s">
        <v>11</v>
      </c>
      <c r="B296" t="s">
        <v>202</v>
      </c>
      <c r="C296" t="s">
        <v>25</v>
      </c>
      <c r="D296" t="s">
        <v>14</v>
      </c>
      <c r="E296" t="s">
        <v>15</v>
      </c>
      <c r="F296" s="1">
        <v>0</v>
      </c>
      <c r="G296" t="s">
        <v>19</v>
      </c>
      <c r="H296" s="1">
        <v>664.1</v>
      </c>
      <c r="J296" s="1">
        <v>766.49</v>
      </c>
      <c r="L296" s="1">
        <v>508.07</v>
      </c>
      <c r="N296" s="1">
        <v>631.66</v>
      </c>
      <c r="P296" s="1">
        <f t="shared" si="4"/>
        <v>2570.3200000000002</v>
      </c>
    </row>
    <row r="297" spans="1:16" x14ac:dyDescent="0.25">
      <c r="A297" t="s">
        <v>11</v>
      </c>
      <c r="B297" t="s">
        <v>202</v>
      </c>
      <c r="C297" t="s">
        <v>28</v>
      </c>
      <c r="D297" t="s">
        <v>14</v>
      </c>
      <c r="E297" t="s">
        <v>15</v>
      </c>
      <c r="F297" s="1">
        <v>0</v>
      </c>
      <c r="G297" t="s">
        <v>19</v>
      </c>
      <c r="H297" s="1">
        <v>972.41</v>
      </c>
      <c r="J297" s="1">
        <v>690.59</v>
      </c>
      <c r="L297" s="1">
        <v>422.52</v>
      </c>
      <c r="N297" s="1">
        <v>126.62</v>
      </c>
      <c r="P297" s="1">
        <f t="shared" si="4"/>
        <v>2212.14</v>
      </c>
    </row>
    <row r="298" spans="1:16" x14ac:dyDescent="0.25">
      <c r="A298" t="s">
        <v>11</v>
      </c>
      <c r="B298" t="s">
        <v>203</v>
      </c>
      <c r="C298" t="s">
        <v>25</v>
      </c>
      <c r="D298" t="s">
        <v>14</v>
      </c>
      <c r="E298" t="s">
        <v>15</v>
      </c>
      <c r="F298" s="1">
        <v>0</v>
      </c>
      <c r="G298" t="s">
        <v>19</v>
      </c>
      <c r="H298" s="1">
        <v>519.99</v>
      </c>
      <c r="J298" s="1">
        <v>361.93</v>
      </c>
      <c r="L298" s="1">
        <v>599.19000000000005</v>
      </c>
      <c r="N298" s="1">
        <v>496.05</v>
      </c>
      <c r="P298" s="1">
        <f t="shared" si="4"/>
        <v>1977.16</v>
      </c>
    </row>
    <row r="299" spans="1:16" x14ac:dyDescent="0.25">
      <c r="A299" t="s">
        <v>11</v>
      </c>
      <c r="B299" t="s">
        <v>204</v>
      </c>
      <c r="C299" t="s">
        <v>25</v>
      </c>
      <c r="D299" t="s">
        <v>14</v>
      </c>
      <c r="E299" t="s">
        <v>15</v>
      </c>
      <c r="F299" s="1">
        <v>0</v>
      </c>
      <c r="G299" t="s">
        <v>19</v>
      </c>
      <c r="H299" s="1">
        <v>6271.88</v>
      </c>
      <c r="J299" s="1">
        <v>13117.13</v>
      </c>
      <c r="L299" s="1">
        <v>9033.35</v>
      </c>
      <c r="N299" s="1">
        <v>10456.44</v>
      </c>
      <c r="P299" s="1">
        <f t="shared" si="4"/>
        <v>38878.800000000003</v>
      </c>
    </row>
    <row r="300" spans="1:16" x14ac:dyDescent="0.25">
      <c r="A300" t="s">
        <v>11</v>
      </c>
      <c r="B300" t="s">
        <v>204</v>
      </c>
      <c r="C300" t="s">
        <v>28</v>
      </c>
      <c r="D300" t="s">
        <v>14</v>
      </c>
      <c r="E300" t="s">
        <v>15</v>
      </c>
      <c r="F300" s="1">
        <v>0</v>
      </c>
      <c r="G300" t="s">
        <v>19</v>
      </c>
      <c r="H300" s="1">
        <v>5959.11</v>
      </c>
      <c r="J300" s="1">
        <v>14573.37</v>
      </c>
      <c r="L300" s="1">
        <v>16704.71</v>
      </c>
      <c r="N300" s="1">
        <v>12275.49</v>
      </c>
      <c r="P300" s="1">
        <f t="shared" si="4"/>
        <v>49512.68</v>
      </c>
    </row>
    <row r="301" spans="1:16" x14ac:dyDescent="0.25">
      <c r="A301" t="s">
        <v>11</v>
      </c>
      <c r="B301" t="s">
        <v>205</v>
      </c>
      <c r="C301" t="s">
        <v>25</v>
      </c>
      <c r="D301" t="s">
        <v>14</v>
      </c>
      <c r="E301" t="s">
        <v>15</v>
      </c>
      <c r="F301" s="1">
        <v>215.58</v>
      </c>
      <c r="H301" s="1">
        <v>325.33</v>
      </c>
      <c r="J301" s="1">
        <v>1834.05</v>
      </c>
      <c r="L301" s="1">
        <v>44.23</v>
      </c>
      <c r="N301" s="1">
        <v>75.34</v>
      </c>
      <c r="P301" s="1">
        <f t="shared" si="4"/>
        <v>2494.5300000000002</v>
      </c>
    </row>
    <row r="302" spans="1:16" x14ac:dyDescent="0.25">
      <c r="A302" t="s">
        <v>11</v>
      </c>
      <c r="B302" t="s">
        <v>205</v>
      </c>
      <c r="C302" t="s">
        <v>28</v>
      </c>
      <c r="D302" t="s">
        <v>14</v>
      </c>
      <c r="E302" t="s">
        <v>15</v>
      </c>
      <c r="F302" s="1">
        <v>1062.96</v>
      </c>
      <c r="H302" s="1">
        <v>612.12</v>
      </c>
      <c r="J302" s="1">
        <v>1001.94</v>
      </c>
      <c r="L302" s="1">
        <v>618.03</v>
      </c>
      <c r="N302" s="1">
        <v>1005.72</v>
      </c>
      <c r="P302" s="1">
        <f t="shared" si="4"/>
        <v>4300.7700000000004</v>
      </c>
    </row>
    <row r="303" spans="1:16" x14ac:dyDescent="0.25">
      <c r="A303" t="s">
        <v>11</v>
      </c>
      <c r="B303" t="s">
        <v>206</v>
      </c>
      <c r="C303" t="s">
        <v>25</v>
      </c>
      <c r="D303" t="s">
        <v>14</v>
      </c>
      <c r="E303" t="s">
        <v>15</v>
      </c>
      <c r="F303" s="1">
        <v>157288.25</v>
      </c>
      <c r="H303" s="1">
        <v>153568.79</v>
      </c>
      <c r="J303" s="1">
        <v>100076.12</v>
      </c>
      <c r="L303" s="1">
        <v>90357.72</v>
      </c>
      <c r="N303" s="1">
        <v>107882.1</v>
      </c>
      <c r="P303" s="1">
        <f t="shared" si="4"/>
        <v>609172.98</v>
      </c>
    </row>
    <row r="304" spans="1:16" x14ac:dyDescent="0.25">
      <c r="A304" t="s">
        <v>11</v>
      </c>
      <c r="B304" t="s">
        <v>206</v>
      </c>
      <c r="C304" t="s">
        <v>28</v>
      </c>
      <c r="D304" t="s">
        <v>14</v>
      </c>
      <c r="E304" t="s">
        <v>15</v>
      </c>
      <c r="F304" s="1">
        <v>352446.48</v>
      </c>
      <c r="H304" s="1">
        <v>364947.35</v>
      </c>
      <c r="J304" s="1">
        <v>448583.79</v>
      </c>
      <c r="L304" s="1">
        <v>436815.44</v>
      </c>
      <c r="N304" s="1">
        <v>384514.52</v>
      </c>
      <c r="P304" s="1">
        <f t="shared" si="4"/>
        <v>1987307.5799999998</v>
      </c>
    </row>
    <row r="305" spans="1:16" x14ac:dyDescent="0.25">
      <c r="A305" t="s">
        <v>11</v>
      </c>
      <c r="B305" t="s">
        <v>207</v>
      </c>
      <c r="C305" t="s">
        <v>25</v>
      </c>
      <c r="D305" t="s">
        <v>14</v>
      </c>
      <c r="E305" t="s">
        <v>15</v>
      </c>
      <c r="F305" s="1">
        <v>9.1300000000000008</v>
      </c>
      <c r="H305" s="1">
        <v>93.47</v>
      </c>
      <c r="J305" s="1">
        <v>0.65</v>
      </c>
      <c r="L305" s="1">
        <v>0.59</v>
      </c>
      <c r="N305" s="1">
        <v>0</v>
      </c>
      <c r="O305" t="s">
        <v>19</v>
      </c>
      <c r="P305" s="1">
        <f t="shared" si="4"/>
        <v>103.84</v>
      </c>
    </row>
    <row r="306" spans="1:16" x14ac:dyDescent="0.25">
      <c r="A306" t="s">
        <v>11</v>
      </c>
      <c r="B306" t="s">
        <v>207</v>
      </c>
      <c r="C306" t="s">
        <v>28</v>
      </c>
      <c r="D306" t="s">
        <v>14</v>
      </c>
      <c r="E306" t="s">
        <v>15</v>
      </c>
      <c r="F306" s="1">
        <v>11.37</v>
      </c>
      <c r="H306" s="1">
        <v>358.47</v>
      </c>
      <c r="J306" s="1">
        <v>1006.89</v>
      </c>
      <c r="L306" s="1">
        <v>1192.4000000000001</v>
      </c>
      <c r="N306" s="1">
        <v>659.92</v>
      </c>
      <c r="P306" s="1">
        <f t="shared" si="4"/>
        <v>3229.05</v>
      </c>
    </row>
    <row r="307" spans="1:16" x14ac:dyDescent="0.25">
      <c r="A307" t="s">
        <v>11</v>
      </c>
      <c r="B307" t="s">
        <v>208</v>
      </c>
      <c r="C307" t="s">
        <v>13</v>
      </c>
      <c r="D307" t="s">
        <v>14</v>
      </c>
      <c r="E307" t="s">
        <v>15</v>
      </c>
      <c r="F307" s="1">
        <v>0</v>
      </c>
      <c r="G307" t="s">
        <v>19</v>
      </c>
      <c r="H307" s="1">
        <v>812.26</v>
      </c>
      <c r="J307" s="1">
        <v>837.03</v>
      </c>
      <c r="L307" s="1">
        <v>775.26</v>
      </c>
      <c r="N307" s="1">
        <v>688.38</v>
      </c>
      <c r="P307" s="1">
        <f t="shared" si="4"/>
        <v>3112.9300000000003</v>
      </c>
    </row>
    <row r="308" spans="1:16" x14ac:dyDescent="0.25">
      <c r="A308" t="s">
        <v>11</v>
      </c>
      <c r="B308" t="s">
        <v>208</v>
      </c>
      <c r="C308" t="s">
        <v>25</v>
      </c>
      <c r="D308" t="s">
        <v>14</v>
      </c>
      <c r="E308" t="s">
        <v>15</v>
      </c>
      <c r="F308" s="1">
        <v>21458.05</v>
      </c>
      <c r="H308" s="1">
        <v>16171.47</v>
      </c>
      <c r="J308" s="1">
        <v>11781.62</v>
      </c>
      <c r="L308" s="1">
        <v>13732.61</v>
      </c>
      <c r="N308" s="1">
        <v>14245.64</v>
      </c>
      <c r="P308" s="1">
        <f t="shared" si="4"/>
        <v>77389.39</v>
      </c>
    </row>
    <row r="309" spans="1:16" x14ac:dyDescent="0.25">
      <c r="A309" t="s">
        <v>11</v>
      </c>
      <c r="B309" t="s">
        <v>208</v>
      </c>
      <c r="C309" t="s">
        <v>28</v>
      </c>
      <c r="D309" t="s">
        <v>14</v>
      </c>
      <c r="E309" t="s">
        <v>15</v>
      </c>
      <c r="F309" s="1">
        <v>93318.81</v>
      </c>
      <c r="H309" s="1">
        <v>83233.89</v>
      </c>
      <c r="J309" s="1">
        <v>77851.5</v>
      </c>
      <c r="L309" s="1">
        <v>85374.96</v>
      </c>
      <c r="N309" s="1">
        <v>95733.8</v>
      </c>
      <c r="P309" s="1">
        <f t="shared" si="4"/>
        <v>435512.96</v>
      </c>
    </row>
    <row r="310" spans="1:16" x14ac:dyDescent="0.25">
      <c r="A310" t="s">
        <v>11</v>
      </c>
      <c r="B310" t="s">
        <v>209</v>
      </c>
      <c r="C310" t="s">
        <v>25</v>
      </c>
      <c r="D310" t="s">
        <v>14</v>
      </c>
      <c r="E310" t="s">
        <v>15</v>
      </c>
      <c r="F310" s="1">
        <v>1012.88</v>
      </c>
      <c r="H310" s="1">
        <v>380.09</v>
      </c>
      <c r="J310" s="1">
        <v>260.01</v>
      </c>
      <c r="L310" s="1">
        <v>237.9</v>
      </c>
      <c r="N310" s="1">
        <v>474.75</v>
      </c>
      <c r="P310" s="1">
        <f t="shared" si="4"/>
        <v>2365.63</v>
      </c>
    </row>
    <row r="311" spans="1:16" x14ac:dyDescent="0.25">
      <c r="A311" t="s">
        <v>11</v>
      </c>
      <c r="B311" t="s">
        <v>209</v>
      </c>
      <c r="C311" t="s">
        <v>28</v>
      </c>
      <c r="D311" t="s">
        <v>14</v>
      </c>
      <c r="E311" t="s">
        <v>15</v>
      </c>
      <c r="F311" s="1">
        <v>8279.16</v>
      </c>
      <c r="H311" s="1">
        <v>4153.96</v>
      </c>
      <c r="J311" s="1">
        <v>3789.94</v>
      </c>
      <c r="L311" s="1">
        <v>3599.58</v>
      </c>
      <c r="N311" s="1">
        <v>2399.46</v>
      </c>
      <c r="P311" s="1">
        <f t="shared" si="4"/>
        <v>22222.1</v>
      </c>
    </row>
    <row r="312" spans="1:16" x14ac:dyDescent="0.25">
      <c r="A312" t="s">
        <v>11</v>
      </c>
      <c r="B312" t="s">
        <v>210</v>
      </c>
      <c r="C312" t="s">
        <v>13</v>
      </c>
      <c r="D312" t="s">
        <v>14</v>
      </c>
      <c r="E312" t="s">
        <v>15</v>
      </c>
      <c r="F312" s="1">
        <v>884.68</v>
      </c>
      <c r="H312" s="1">
        <v>1018.76</v>
      </c>
      <c r="J312" s="1">
        <v>903.9</v>
      </c>
      <c r="L312" s="1">
        <v>1141.08</v>
      </c>
      <c r="N312" s="1">
        <v>1863.33</v>
      </c>
      <c r="P312" s="1">
        <f t="shared" si="4"/>
        <v>5811.75</v>
      </c>
    </row>
    <row r="313" spans="1:16" x14ac:dyDescent="0.25">
      <c r="A313" t="s">
        <v>11</v>
      </c>
      <c r="B313" t="s">
        <v>211</v>
      </c>
      <c r="C313" t="s">
        <v>25</v>
      </c>
      <c r="D313" t="s">
        <v>14</v>
      </c>
      <c r="E313" t="s">
        <v>15</v>
      </c>
      <c r="F313" s="1">
        <v>0</v>
      </c>
      <c r="G313" t="s">
        <v>19</v>
      </c>
      <c r="H313" s="1">
        <v>5482.9</v>
      </c>
      <c r="J313" s="1">
        <v>5588.25</v>
      </c>
      <c r="L313" s="1">
        <v>10026.01</v>
      </c>
      <c r="N313" s="1">
        <v>14182.42</v>
      </c>
      <c r="P313" s="1">
        <f t="shared" si="4"/>
        <v>35279.58</v>
      </c>
    </row>
    <row r="314" spans="1:16" x14ac:dyDescent="0.25">
      <c r="A314" t="s">
        <v>11</v>
      </c>
      <c r="B314" t="s">
        <v>211</v>
      </c>
      <c r="C314" t="s">
        <v>28</v>
      </c>
      <c r="D314" t="s">
        <v>14</v>
      </c>
      <c r="E314" t="s">
        <v>15</v>
      </c>
      <c r="F314" s="1">
        <v>0</v>
      </c>
      <c r="G314" t="s">
        <v>19</v>
      </c>
      <c r="H314" s="1">
        <v>15042.72</v>
      </c>
      <c r="J314" s="1">
        <v>17256.080000000002</v>
      </c>
      <c r="L314" s="1">
        <v>26958.2</v>
      </c>
      <c r="N314" s="1">
        <v>25888.06</v>
      </c>
      <c r="P314" s="1">
        <f t="shared" si="4"/>
        <v>85145.06</v>
      </c>
    </row>
    <row r="315" spans="1:16" x14ac:dyDescent="0.25">
      <c r="A315" t="s">
        <v>11</v>
      </c>
      <c r="B315" t="s">
        <v>212</v>
      </c>
      <c r="C315" t="s">
        <v>28</v>
      </c>
      <c r="D315" t="s">
        <v>14</v>
      </c>
      <c r="E315" t="s">
        <v>15</v>
      </c>
      <c r="F315" s="1">
        <v>14480.65</v>
      </c>
      <c r="H315" s="1">
        <v>4547.66</v>
      </c>
      <c r="J315" s="1">
        <v>4000.65</v>
      </c>
      <c r="L315" s="1">
        <v>3172.92</v>
      </c>
      <c r="N315" s="1">
        <v>880.9</v>
      </c>
      <c r="P315" s="1">
        <f t="shared" si="4"/>
        <v>27082.78</v>
      </c>
    </row>
    <row r="316" spans="1:16" x14ac:dyDescent="0.25">
      <c r="A316" t="s">
        <v>11</v>
      </c>
      <c r="B316" t="s">
        <v>213</v>
      </c>
      <c r="C316" t="s">
        <v>25</v>
      </c>
      <c r="D316" t="s">
        <v>14</v>
      </c>
      <c r="E316" t="s">
        <v>15</v>
      </c>
      <c r="F316" s="1">
        <v>91646.41</v>
      </c>
      <c r="H316" s="1">
        <v>8617.39</v>
      </c>
      <c r="J316" s="1">
        <v>9723.0400000000009</v>
      </c>
      <c r="L316" s="1">
        <v>10606.7</v>
      </c>
      <c r="N316" s="1">
        <v>10367.040000000001</v>
      </c>
      <c r="P316" s="1">
        <f t="shared" si="4"/>
        <v>130960.57999999999</v>
      </c>
    </row>
    <row r="317" spans="1:16" x14ac:dyDescent="0.25">
      <c r="A317" t="s">
        <v>11</v>
      </c>
      <c r="B317" t="s">
        <v>213</v>
      </c>
      <c r="C317" t="s">
        <v>28</v>
      </c>
      <c r="D317" t="s">
        <v>14</v>
      </c>
      <c r="E317" t="s">
        <v>15</v>
      </c>
      <c r="F317" s="1">
        <v>133349.73000000001</v>
      </c>
      <c r="H317" s="1">
        <v>14397.24</v>
      </c>
      <c r="J317" s="1">
        <v>17220.28</v>
      </c>
      <c r="L317" s="1">
        <v>17543.27</v>
      </c>
      <c r="N317" s="1">
        <v>17859.89</v>
      </c>
      <c r="P317" s="1">
        <f t="shared" si="4"/>
        <v>200370.40999999997</v>
      </c>
    </row>
    <row r="318" spans="1:16" x14ac:dyDescent="0.25">
      <c r="A318" t="s">
        <v>11</v>
      </c>
      <c r="B318" t="s">
        <v>214</v>
      </c>
      <c r="C318" t="s">
        <v>25</v>
      </c>
      <c r="D318" t="s">
        <v>14</v>
      </c>
      <c r="E318" t="s">
        <v>15</v>
      </c>
      <c r="F318" s="1">
        <v>1.52</v>
      </c>
      <c r="H318" s="1">
        <v>12.79</v>
      </c>
      <c r="J318" s="1">
        <v>0.74</v>
      </c>
      <c r="L318" s="1">
        <v>0</v>
      </c>
      <c r="N318" s="1">
        <v>99.69</v>
      </c>
      <c r="P318" s="1">
        <f t="shared" si="4"/>
        <v>114.74</v>
      </c>
    </row>
    <row r="319" spans="1:16" x14ac:dyDescent="0.25">
      <c r="A319" t="s">
        <v>11</v>
      </c>
      <c r="B319" t="s">
        <v>214</v>
      </c>
      <c r="C319" t="s">
        <v>28</v>
      </c>
      <c r="D319" t="s">
        <v>14</v>
      </c>
      <c r="E319" t="s">
        <v>15</v>
      </c>
      <c r="F319" s="1">
        <v>0</v>
      </c>
      <c r="G319" t="s">
        <v>19</v>
      </c>
      <c r="H319" s="1">
        <v>1041.26</v>
      </c>
      <c r="J319" s="1">
        <v>669.68</v>
      </c>
      <c r="L319" s="1">
        <v>803.82</v>
      </c>
      <c r="N319" s="1">
        <v>199.47</v>
      </c>
      <c r="P319" s="1">
        <f t="shared" si="4"/>
        <v>2714.23</v>
      </c>
    </row>
    <row r="320" spans="1:16" x14ac:dyDescent="0.25">
      <c r="A320" t="s">
        <v>11</v>
      </c>
      <c r="B320" t="s">
        <v>215</v>
      </c>
      <c r="C320" t="s">
        <v>25</v>
      </c>
      <c r="D320" t="s">
        <v>14</v>
      </c>
      <c r="E320" t="s">
        <v>15</v>
      </c>
      <c r="F320" s="1">
        <v>0</v>
      </c>
      <c r="G320" t="s">
        <v>19</v>
      </c>
      <c r="H320" s="1">
        <v>301.94</v>
      </c>
      <c r="J320" s="1">
        <v>764.01</v>
      </c>
      <c r="L320" s="1">
        <v>712.59</v>
      </c>
      <c r="N320" s="1">
        <v>721.84</v>
      </c>
      <c r="P320" s="1">
        <f t="shared" si="4"/>
        <v>2500.38</v>
      </c>
    </row>
    <row r="321" spans="1:16" x14ac:dyDescent="0.25">
      <c r="A321" t="s">
        <v>11</v>
      </c>
      <c r="B321" t="s">
        <v>215</v>
      </c>
      <c r="C321" t="s">
        <v>28</v>
      </c>
      <c r="D321" t="s">
        <v>14</v>
      </c>
      <c r="E321" t="s">
        <v>15</v>
      </c>
      <c r="F321" s="1">
        <v>0</v>
      </c>
      <c r="G321" t="s">
        <v>19</v>
      </c>
      <c r="H321" s="1">
        <v>738.75</v>
      </c>
      <c r="J321" s="1">
        <v>686.07</v>
      </c>
      <c r="L321" s="1">
        <v>542.58000000000004</v>
      </c>
      <c r="N321" s="1">
        <v>683.14</v>
      </c>
      <c r="P321" s="1">
        <f t="shared" si="4"/>
        <v>2650.54</v>
      </c>
    </row>
    <row r="322" spans="1:16" x14ac:dyDescent="0.25">
      <c r="A322" t="s">
        <v>11</v>
      </c>
      <c r="B322" t="s">
        <v>216</v>
      </c>
      <c r="C322" t="s">
        <v>13</v>
      </c>
      <c r="D322" t="s">
        <v>14</v>
      </c>
      <c r="E322" t="s">
        <v>15</v>
      </c>
      <c r="F322" s="1">
        <v>1495.67</v>
      </c>
      <c r="H322" s="1">
        <v>1691.69</v>
      </c>
      <c r="J322" s="1">
        <v>930.41</v>
      </c>
      <c r="L322" s="1">
        <v>1319.24</v>
      </c>
      <c r="N322" s="1">
        <v>2223.7399999999998</v>
      </c>
      <c r="P322" s="1">
        <f t="shared" si="4"/>
        <v>7660.75</v>
      </c>
    </row>
    <row r="323" spans="1:16" x14ac:dyDescent="0.25">
      <c r="A323" t="s">
        <v>11</v>
      </c>
      <c r="B323" t="s">
        <v>217</v>
      </c>
      <c r="C323" t="s">
        <v>25</v>
      </c>
      <c r="D323" t="s">
        <v>14</v>
      </c>
      <c r="E323" t="s">
        <v>15</v>
      </c>
      <c r="F323" s="1">
        <v>83.02</v>
      </c>
      <c r="H323" s="1">
        <v>12.96</v>
      </c>
      <c r="J323" s="1">
        <v>3.36</v>
      </c>
      <c r="L323" s="1">
        <v>0</v>
      </c>
      <c r="N323" s="1">
        <v>9</v>
      </c>
      <c r="P323" s="1">
        <f t="shared" ref="P323:P386" si="5">SUM(F323,H323,J323,L323,N323)</f>
        <v>108.33999999999999</v>
      </c>
    </row>
    <row r="324" spans="1:16" x14ac:dyDescent="0.25">
      <c r="A324" t="s">
        <v>11</v>
      </c>
      <c r="B324" t="s">
        <v>218</v>
      </c>
      <c r="C324" t="s">
        <v>13</v>
      </c>
      <c r="D324" t="s">
        <v>14</v>
      </c>
      <c r="E324" t="s">
        <v>15</v>
      </c>
      <c r="F324" s="1">
        <v>13400.78</v>
      </c>
      <c r="H324" s="1">
        <v>14574.98</v>
      </c>
      <c r="J324" s="1">
        <v>12885.06</v>
      </c>
      <c r="L324" s="1">
        <v>9986.3700000000008</v>
      </c>
      <c r="N324" s="1">
        <v>11189.33</v>
      </c>
      <c r="P324" s="1">
        <f t="shared" si="5"/>
        <v>62036.520000000004</v>
      </c>
    </row>
    <row r="325" spans="1:16" x14ac:dyDescent="0.25">
      <c r="A325" t="s">
        <v>11</v>
      </c>
      <c r="B325" t="s">
        <v>219</v>
      </c>
      <c r="C325" t="s">
        <v>25</v>
      </c>
      <c r="D325" t="s">
        <v>14</v>
      </c>
      <c r="E325" t="s">
        <v>15</v>
      </c>
      <c r="F325" s="1">
        <v>14525.38</v>
      </c>
      <c r="H325" s="1">
        <v>0</v>
      </c>
      <c r="I325" t="s">
        <v>19</v>
      </c>
      <c r="J325" s="1">
        <v>0</v>
      </c>
      <c r="K325" t="s">
        <v>19</v>
      </c>
      <c r="L325" s="1">
        <v>0</v>
      </c>
      <c r="M325" t="s">
        <v>19</v>
      </c>
      <c r="N325" s="1">
        <v>0</v>
      </c>
      <c r="O325" t="s">
        <v>19</v>
      </c>
      <c r="P325" s="1">
        <f t="shared" si="5"/>
        <v>14525.38</v>
      </c>
    </row>
    <row r="326" spans="1:16" x14ac:dyDescent="0.25">
      <c r="A326" t="s">
        <v>11</v>
      </c>
      <c r="B326" t="s">
        <v>219</v>
      </c>
      <c r="C326" t="s">
        <v>28</v>
      </c>
      <c r="D326" t="s">
        <v>14</v>
      </c>
      <c r="E326" t="s">
        <v>15</v>
      </c>
      <c r="F326" s="1">
        <v>47651.86</v>
      </c>
      <c r="H326" s="1">
        <v>0</v>
      </c>
      <c r="I326" t="s">
        <v>19</v>
      </c>
      <c r="J326" s="1">
        <v>0</v>
      </c>
      <c r="K326" t="s">
        <v>19</v>
      </c>
      <c r="L326" s="1">
        <v>0</v>
      </c>
      <c r="M326" t="s">
        <v>19</v>
      </c>
      <c r="N326" s="1">
        <v>0</v>
      </c>
      <c r="O326" t="s">
        <v>19</v>
      </c>
      <c r="P326" s="1">
        <f t="shared" si="5"/>
        <v>47651.86</v>
      </c>
    </row>
    <row r="327" spans="1:16" x14ac:dyDescent="0.25">
      <c r="A327" t="s">
        <v>11</v>
      </c>
      <c r="B327" t="s">
        <v>220</v>
      </c>
      <c r="C327" t="s">
        <v>13</v>
      </c>
      <c r="D327" t="s">
        <v>14</v>
      </c>
      <c r="E327" t="s">
        <v>15</v>
      </c>
      <c r="F327" s="1">
        <v>4661.34</v>
      </c>
      <c r="H327" s="1">
        <v>18276.71</v>
      </c>
      <c r="J327" s="1">
        <v>13139.91</v>
      </c>
      <c r="L327" s="1">
        <v>11773.45</v>
      </c>
      <c r="N327" s="1">
        <v>13251.92</v>
      </c>
      <c r="P327" s="1">
        <f t="shared" si="5"/>
        <v>61103.33</v>
      </c>
    </row>
    <row r="328" spans="1:16" x14ac:dyDescent="0.25">
      <c r="A328" t="s">
        <v>11</v>
      </c>
      <c r="B328" t="s">
        <v>221</v>
      </c>
      <c r="C328" t="s">
        <v>25</v>
      </c>
      <c r="D328" t="s">
        <v>14</v>
      </c>
      <c r="E328" t="s">
        <v>15</v>
      </c>
      <c r="F328" s="1">
        <v>1742.46</v>
      </c>
      <c r="H328" s="1">
        <v>2310.16</v>
      </c>
      <c r="J328" s="1">
        <v>2433.71</v>
      </c>
      <c r="L328" s="1">
        <v>739.71</v>
      </c>
      <c r="N328" s="1">
        <v>789.23</v>
      </c>
      <c r="P328" s="1">
        <f t="shared" si="5"/>
        <v>8015.27</v>
      </c>
    </row>
    <row r="329" spans="1:16" x14ac:dyDescent="0.25">
      <c r="A329" t="s">
        <v>11</v>
      </c>
      <c r="B329" t="s">
        <v>221</v>
      </c>
      <c r="C329" t="s">
        <v>28</v>
      </c>
      <c r="D329" t="s">
        <v>14</v>
      </c>
      <c r="E329" t="s">
        <v>15</v>
      </c>
      <c r="F329" s="1">
        <v>248.72</v>
      </c>
      <c r="H329" s="1">
        <v>128.5</v>
      </c>
      <c r="J329" s="1">
        <v>1706.97</v>
      </c>
      <c r="L329" s="1">
        <v>584.62</v>
      </c>
      <c r="N329" s="1">
        <v>466.4</v>
      </c>
      <c r="P329" s="1">
        <f t="shared" si="5"/>
        <v>3135.21</v>
      </c>
    </row>
    <row r="330" spans="1:16" x14ac:dyDescent="0.25">
      <c r="A330" t="s">
        <v>11</v>
      </c>
      <c r="B330" t="s">
        <v>222</v>
      </c>
      <c r="C330" t="s">
        <v>25</v>
      </c>
      <c r="D330" t="s">
        <v>14</v>
      </c>
      <c r="E330" t="s">
        <v>15</v>
      </c>
      <c r="F330" s="1">
        <v>0</v>
      </c>
      <c r="G330" t="s">
        <v>19</v>
      </c>
      <c r="H330" s="1">
        <v>9122.15</v>
      </c>
      <c r="J330" s="1">
        <v>3305.41</v>
      </c>
      <c r="L330" s="1">
        <v>7635.96</v>
      </c>
      <c r="N330" s="1">
        <v>5530.71</v>
      </c>
      <c r="P330" s="1">
        <f t="shared" si="5"/>
        <v>25594.23</v>
      </c>
    </row>
    <row r="331" spans="1:16" x14ac:dyDescent="0.25">
      <c r="A331" t="s">
        <v>11</v>
      </c>
      <c r="B331" t="s">
        <v>222</v>
      </c>
      <c r="C331" t="s">
        <v>28</v>
      </c>
      <c r="D331" t="s">
        <v>14</v>
      </c>
      <c r="E331" t="s">
        <v>15</v>
      </c>
      <c r="F331" s="1">
        <v>0</v>
      </c>
      <c r="G331" t="s">
        <v>19</v>
      </c>
      <c r="H331" s="1">
        <v>3926.91</v>
      </c>
      <c r="J331" s="1">
        <v>6109.18</v>
      </c>
      <c r="L331" s="1">
        <v>6889.99</v>
      </c>
      <c r="N331" s="1">
        <v>11465.93</v>
      </c>
      <c r="P331" s="1">
        <f t="shared" si="5"/>
        <v>28392.010000000002</v>
      </c>
    </row>
    <row r="332" spans="1:16" x14ac:dyDescent="0.25">
      <c r="A332" t="s">
        <v>11</v>
      </c>
      <c r="B332" t="s">
        <v>223</v>
      </c>
      <c r="C332" t="s">
        <v>25</v>
      </c>
      <c r="D332" t="s">
        <v>14</v>
      </c>
      <c r="E332" t="s">
        <v>15</v>
      </c>
      <c r="F332" s="1">
        <v>78926.38</v>
      </c>
      <c r="H332" s="1">
        <v>128987.34</v>
      </c>
      <c r="J332" s="1">
        <v>116119.43</v>
      </c>
      <c r="L332" s="1">
        <v>132165.07999999999</v>
      </c>
      <c r="N332" s="1">
        <v>143332.56</v>
      </c>
      <c r="P332" s="1">
        <f t="shared" si="5"/>
        <v>599530.79</v>
      </c>
    </row>
    <row r="333" spans="1:16" x14ac:dyDescent="0.25">
      <c r="A333" t="s">
        <v>11</v>
      </c>
      <c r="B333" t="s">
        <v>223</v>
      </c>
      <c r="C333" t="s">
        <v>28</v>
      </c>
      <c r="D333" t="s">
        <v>14</v>
      </c>
      <c r="E333" t="s">
        <v>15</v>
      </c>
      <c r="F333" s="1">
        <v>291441</v>
      </c>
      <c r="H333" s="1">
        <v>297860</v>
      </c>
      <c r="J333" s="1">
        <v>258169</v>
      </c>
      <c r="L333" s="1">
        <v>272193</v>
      </c>
      <c r="N333" s="1">
        <v>263438</v>
      </c>
      <c r="P333" s="1">
        <f t="shared" si="5"/>
        <v>1383101</v>
      </c>
    </row>
    <row r="334" spans="1:16" x14ac:dyDescent="0.25">
      <c r="A334" t="s">
        <v>11</v>
      </c>
      <c r="B334" t="s">
        <v>224</v>
      </c>
      <c r="C334" t="s">
        <v>25</v>
      </c>
      <c r="D334" t="s">
        <v>14</v>
      </c>
      <c r="E334" t="s">
        <v>15</v>
      </c>
      <c r="F334" s="1">
        <v>0</v>
      </c>
      <c r="G334" t="s">
        <v>19</v>
      </c>
      <c r="H334" s="1">
        <v>145.83000000000001</v>
      </c>
      <c r="J334" s="1">
        <v>291.20999999999998</v>
      </c>
      <c r="L334" s="1">
        <v>210.23</v>
      </c>
      <c r="N334" s="1">
        <v>392.05</v>
      </c>
      <c r="P334" s="1">
        <f t="shared" si="5"/>
        <v>1039.32</v>
      </c>
    </row>
    <row r="335" spans="1:16" x14ac:dyDescent="0.25">
      <c r="A335" t="s">
        <v>11</v>
      </c>
      <c r="B335" t="s">
        <v>224</v>
      </c>
      <c r="C335" t="s">
        <v>28</v>
      </c>
      <c r="D335" t="s">
        <v>14</v>
      </c>
      <c r="E335" t="s">
        <v>15</v>
      </c>
      <c r="F335" s="1">
        <v>0</v>
      </c>
      <c r="G335" t="s">
        <v>19</v>
      </c>
      <c r="H335" s="1">
        <v>3583.51</v>
      </c>
      <c r="J335" s="1">
        <v>899.89</v>
      </c>
      <c r="L335" s="1">
        <v>1934.33</v>
      </c>
      <c r="N335" s="1">
        <v>1439.96</v>
      </c>
      <c r="P335" s="1">
        <f t="shared" si="5"/>
        <v>7857.6900000000005</v>
      </c>
    </row>
    <row r="336" spans="1:16" x14ac:dyDescent="0.25">
      <c r="A336" t="s">
        <v>11</v>
      </c>
      <c r="B336" t="s">
        <v>225</v>
      </c>
      <c r="C336" t="s">
        <v>13</v>
      </c>
      <c r="D336" t="s">
        <v>14</v>
      </c>
      <c r="E336" t="s">
        <v>15</v>
      </c>
      <c r="F336" s="1">
        <v>246.79</v>
      </c>
      <c r="H336" s="1">
        <v>23.15</v>
      </c>
      <c r="J336" s="1">
        <v>1.79</v>
      </c>
      <c r="L336" s="1">
        <v>5.05</v>
      </c>
      <c r="N336" s="1">
        <v>2.57</v>
      </c>
      <c r="P336" s="1">
        <f t="shared" si="5"/>
        <v>279.35000000000002</v>
      </c>
    </row>
    <row r="337" spans="1:16" x14ac:dyDescent="0.25">
      <c r="A337" t="s">
        <v>11</v>
      </c>
      <c r="B337" t="s">
        <v>226</v>
      </c>
      <c r="C337" t="s">
        <v>25</v>
      </c>
      <c r="D337" t="s">
        <v>14</v>
      </c>
      <c r="E337" t="s">
        <v>15</v>
      </c>
      <c r="F337" s="1">
        <v>0</v>
      </c>
      <c r="G337" t="s">
        <v>19</v>
      </c>
      <c r="H337" s="1">
        <v>181.5</v>
      </c>
      <c r="J337" s="1">
        <v>120.17</v>
      </c>
      <c r="L337" s="1">
        <v>809.87</v>
      </c>
      <c r="N337" s="1">
        <v>380.52</v>
      </c>
      <c r="P337" s="1">
        <f t="shared" si="5"/>
        <v>1492.06</v>
      </c>
    </row>
    <row r="338" spans="1:16" x14ac:dyDescent="0.25">
      <c r="A338" t="s">
        <v>11</v>
      </c>
      <c r="B338" t="s">
        <v>226</v>
      </c>
      <c r="C338" t="s">
        <v>28</v>
      </c>
      <c r="D338" t="s">
        <v>14</v>
      </c>
      <c r="E338" t="s">
        <v>15</v>
      </c>
      <c r="F338" s="1">
        <v>0</v>
      </c>
      <c r="G338" t="s">
        <v>19</v>
      </c>
      <c r="H338" s="1">
        <v>595.66</v>
      </c>
      <c r="J338" s="1">
        <v>43.28</v>
      </c>
      <c r="L338" s="1">
        <v>136.93</v>
      </c>
      <c r="N338" s="1">
        <v>376</v>
      </c>
      <c r="P338" s="1">
        <f t="shared" si="5"/>
        <v>1151.8699999999999</v>
      </c>
    </row>
    <row r="339" spans="1:16" x14ac:dyDescent="0.25">
      <c r="A339" t="s">
        <v>11</v>
      </c>
      <c r="B339" t="s">
        <v>227</v>
      </c>
      <c r="C339" t="s">
        <v>13</v>
      </c>
      <c r="D339" t="s">
        <v>14</v>
      </c>
      <c r="E339" t="s">
        <v>15</v>
      </c>
      <c r="F339" s="1">
        <v>49694.58</v>
      </c>
      <c r="H339" s="1">
        <v>7868.22</v>
      </c>
      <c r="J339" s="1">
        <v>7758.71</v>
      </c>
      <c r="L339" s="1">
        <v>3256.71</v>
      </c>
      <c r="N339" s="1">
        <v>3331.69</v>
      </c>
      <c r="P339" s="1">
        <f t="shared" si="5"/>
        <v>71909.91</v>
      </c>
    </row>
    <row r="340" spans="1:16" x14ac:dyDescent="0.25">
      <c r="A340" t="s">
        <v>11</v>
      </c>
      <c r="B340" t="s">
        <v>228</v>
      </c>
      <c r="C340" t="s">
        <v>25</v>
      </c>
      <c r="D340" t="s">
        <v>14</v>
      </c>
      <c r="E340" t="s">
        <v>15</v>
      </c>
      <c r="F340" s="1">
        <v>55797.71</v>
      </c>
      <c r="H340" s="1">
        <v>22708.55</v>
      </c>
      <c r="J340" s="1">
        <v>24780.28</v>
      </c>
      <c r="L340" s="1">
        <v>19427.560000000001</v>
      </c>
      <c r="N340" s="1">
        <v>24010.16</v>
      </c>
      <c r="P340" s="1">
        <f t="shared" si="5"/>
        <v>146724.25999999998</v>
      </c>
    </row>
    <row r="341" spans="1:16" x14ac:dyDescent="0.25">
      <c r="A341" t="s">
        <v>11</v>
      </c>
      <c r="B341" t="s">
        <v>228</v>
      </c>
      <c r="C341" t="s">
        <v>28</v>
      </c>
      <c r="D341" t="s">
        <v>14</v>
      </c>
      <c r="E341" t="s">
        <v>15</v>
      </c>
      <c r="F341" s="1">
        <v>283354.73</v>
      </c>
      <c r="H341" s="1">
        <v>98121.45</v>
      </c>
      <c r="J341" s="1">
        <v>107004.9</v>
      </c>
      <c r="L341" s="1">
        <v>127835.49</v>
      </c>
      <c r="N341" s="1">
        <v>151341.51999999999</v>
      </c>
      <c r="P341" s="1">
        <f t="shared" si="5"/>
        <v>767658.09</v>
      </c>
    </row>
    <row r="342" spans="1:16" x14ac:dyDescent="0.25">
      <c r="A342" t="s">
        <v>11</v>
      </c>
      <c r="B342" t="s">
        <v>229</v>
      </c>
      <c r="C342" t="s">
        <v>25</v>
      </c>
      <c r="D342" t="s">
        <v>14</v>
      </c>
      <c r="E342" t="s">
        <v>15</v>
      </c>
      <c r="F342" s="1">
        <v>0</v>
      </c>
      <c r="G342" t="s">
        <v>19</v>
      </c>
      <c r="H342" s="1">
        <v>37855.08</v>
      </c>
      <c r="J342" s="1">
        <v>34467.39</v>
      </c>
      <c r="L342" s="1">
        <v>19565.41</v>
      </c>
      <c r="N342" s="1">
        <v>20456.419999999998</v>
      </c>
      <c r="P342" s="1">
        <f t="shared" si="5"/>
        <v>112344.3</v>
      </c>
    </row>
    <row r="343" spans="1:16" x14ac:dyDescent="0.25">
      <c r="A343" t="s">
        <v>11</v>
      </c>
      <c r="B343" t="s">
        <v>229</v>
      </c>
      <c r="C343" t="s">
        <v>28</v>
      </c>
      <c r="D343" t="s">
        <v>14</v>
      </c>
      <c r="E343" t="s">
        <v>15</v>
      </c>
      <c r="F343" s="1">
        <v>0</v>
      </c>
      <c r="G343" t="s">
        <v>19</v>
      </c>
      <c r="H343" s="1">
        <v>94695.77</v>
      </c>
      <c r="J343" s="1">
        <v>120647.67</v>
      </c>
      <c r="L343" s="1">
        <v>129361.31</v>
      </c>
      <c r="N343" s="1">
        <v>111302.9</v>
      </c>
      <c r="P343" s="1">
        <f t="shared" si="5"/>
        <v>456007.65</v>
      </c>
    </row>
    <row r="344" spans="1:16" x14ac:dyDescent="0.25">
      <c r="A344" t="s">
        <v>11</v>
      </c>
      <c r="B344" t="s">
        <v>230</v>
      </c>
      <c r="C344" t="s">
        <v>25</v>
      </c>
      <c r="D344" t="s">
        <v>14</v>
      </c>
      <c r="E344" t="s">
        <v>15</v>
      </c>
      <c r="F344" s="1">
        <v>1086.6099999999999</v>
      </c>
      <c r="H344" s="1">
        <v>1206.03</v>
      </c>
      <c r="J344" s="1">
        <v>1297.67</v>
      </c>
      <c r="L344" s="1">
        <v>1122.71</v>
      </c>
      <c r="N344" s="1">
        <v>1031.4000000000001</v>
      </c>
      <c r="P344" s="1">
        <f t="shared" si="5"/>
        <v>5744.42</v>
      </c>
    </row>
    <row r="345" spans="1:16" x14ac:dyDescent="0.25">
      <c r="A345" t="s">
        <v>11</v>
      </c>
      <c r="B345" t="s">
        <v>231</v>
      </c>
      <c r="C345" t="s">
        <v>28</v>
      </c>
      <c r="D345" t="s">
        <v>90</v>
      </c>
      <c r="E345" t="s">
        <v>15</v>
      </c>
      <c r="F345" s="1">
        <v>0</v>
      </c>
      <c r="G345" t="s">
        <v>19</v>
      </c>
      <c r="H345" s="1">
        <v>0</v>
      </c>
      <c r="I345" t="s">
        <v>19</v>
      </c>
      <c r="J345" s="1">
        <v>0</v>
      </c>
      <c r="K345" t="s">
        <v>19</v>
      </c>
      <c r="L345" s="1">
        <v>18</v>
      </c>
      <c r="N345" s="1">
        <v>0</v>
      </c>
      <c r="O345" t="s">
        <v>19</v>
      </c>
      <c r="P345" s="1">
        <f t="shared" si="5"/>
        <v>18</v>
      </c>
    </row>
    <row r="346" spans="1:16" x14ac:dyDescent="0.25">
      <c r="A346" t="s">
        <v>11</v>
      </c>
      <c r="B346" t="s">
        <v>233</v>
      </c>
      <c r="C346" t="s">
        <v>13</v>
      </c>
      <c r="D346" t="s">
        <v>14</v>
      </c>
      <c r="E346" t="s">
        <v>15</v>
      </c>
      <c r="F346" s="1">
        <v>0</v>
      </c>
      <c r="G346" t="s">
        <v>19</v>
      </c>
      <c r="H346" s="1">
        <v>15.66</v>
      </c>
      <c r="J346" s="1">
        <v>4.5199999999999996</v>
      </c>
      <c r="L346" s="1">
        <v>4.5199999999999996</v>
      </c>
      <c r="N346" s="1">
        <v>19.34</v>
      </c>
      <c r="P346" s="1">
        <f t="shared" si="5"/>
        <v>44.04</v>
      </c>
    </row>
    <row r="347" spans="1:16" x14ac:dyDescent="0.25">
      <c r="A347" t="s">
        <v>11</v>
      </c>
      <c r="B347" t="s">
        <v>233</v>
      </c>
      <c r="C347" t="s">
        <v>25</v>
      </c>
      <c r="D347" t="s">
        <v>14</v>
      </c>
      <c r="E347" t="s">
        <v>15</v>
      </c>
      <c r="F347" s="1">
        <v>7426.63</v>
      </c>
      <c r="H347" s="1">
        <v>10755.04</v>
      </c>
      <c r="J347" s="1">
        <v>10708.85</v>
      </c>
      <c r="L347" s="1">
        <v>7197.32</v>
      </c>
      <c r="N347" s="1">
        <v>8642.33</v>
      </c>
      <c r="P347" s="1">
        <f t="shared" si="5"/>
        <v>44730.170000000006</v>
      </c>
    </row>
    <row r="348" spans="1:16" x14ac:dyDescent="0.25">
      <c r="A348" t="s">
        <v>11</v>
      </c>
      <c r="B348" t="s">
        <v>233</v>
      </c>
      <c r="C348" t="s">
        <v>28</v>
      </c>
      <c r="D348" t="s">
        <v>14</v>
      </c>
      <c r="E348" t="s">
        <v>15</v>
      </c>
      <c r="F348" s="1">
        <v>76637.25</v>
      </c>
      <c r="H348" s="1">
        <v>85836.97</v>
      </c>
      <c r="J348" s="1">
        <v>68246.600000000006</v>
      </c>
      <c r="L348" s="1">
        <v>75104.92</v>
      </c>
      <c r="N348" s="1">
        <v>79850.039999999994</v>
      </c>
      <c r="P348" s="1">
        <f t="shared" si="5"/>
        <v>385675.77999999997</v>
      </c>
    </row>
    <row r="349" spans="1:16" x14ac:dyDescent="0.25">
      <c r="A349" t="s">
        <v>11</v>
      </c>
      <c r="B349" t="s">
        <v>234</v>
      </c>
      <c r="C349" t="s">
        <v>13</v>
      </c>
      <c r="D349" t="s">
        <v>14</v>
      </c>
      <c r="E349" t="s">
        <v>15</v>
      </c>
      <c r="F349" s="1">
        <v>9518.84</v>
      </c>
      <c r="H349" s="1">
        <v>11722.66</v>
      </c>
      <c r="J349" s="1">
        <v>5768.74</v>
      </c>
      <c r="L349" s="1">
        <v>4825.53</v>
      </c>
      <c r="N349" s="1">
        <v>1058.67</v>
      </c>
      <c r="P349" s="1">
        <f t="shared" si="5"/>
        <v>32894.439999999995</v>
      </c>
    </row>
    <row r="350" spans="1:16" x14ac:dyDescent="0.25">
      <c r="A350" t="s">
        <v>11</v>
      </c>
      <c r="B350" t="s">
        <v>235</v>
      </c>
      <c r="C350" t="s">
        <v>25</v>
      </c>
      <c r="D350" t="s">
        <v>14</v>
      </c>
      <c r="E350" t="s">
        <v>15</v>
      </c>
      <c r="F350" s="1">
        <v>0</v>
      </c>
      <c r="G350" t="s">
        <v>19</v>
      </c>
      <c r="H350" s="1">
        <v>8311.65</v>
      </c>
      <c r="J350" s="1">
        <v>6246.1</v>
      </c>
      <c r="L350" s="1">
        <v>7870.26</v>
      </c>
      <c r="N350" s="1">
        <v>7884.9</v>
      </c>
      <c r="P350" s="1">
        <f t="shared" si="5"/>
        <v>30312.910000000003</v>
      </c>
    </row>
    <row r="351" spans="1:16" x14ac:dyDescent="0.25">
      <c r="A351" t="s">
        <v>11</v>
      </c>
      <c r="B351" t="s">
        <v>235</v>
      </c>
      <c r="C351" t="s">
        <v>28</v>
      </c>
      <c r="D351" t="s">
        <v>14</v>
      </c>
      <c r="E351" t="s">
        <v>15</v>
      </c>
      <c r="F351" s="1">
        <v>0</v>
      </c>
      <c r="G351" t="s">
        <v>19</v>
      </c>
      <c r="H351" s="1">
        <v>18373.009999999998</v>
      </c>
      <c r="J351" s="1">
        <v>21214.31</v>
      </c>
      <c r="L351" s="1">
        <v>51473.3</v>
      </c>
      <c r="N351" s="1">
        <v>38532.43</v>
      </c>
      <c r="P351" s="1">
        <f t="shared" si="5"/>
        <v>129593.04999999999</v>
      </c>
    </row>
    <row r="352" spans="1:16" x14ac:dyDescent="0.25">
      <c r="A352" t="s">
        <v>11</v>
      </c>
      <c r="B352" t="s">
        <v>236</v>
      </c>
      <c r="C352" t="s">
        <v>28</v>
      </c>
      <c r="D352" t="s">
        <v>14</v>
      </c>
      <c r="E352" t="s">
        <v>15</v>
      </c>
      <c r="F352" s="1">
        <v>0</v>
      </c>
      <c r="G352" t="s">
        <v>19</v>
      </c>
      <c r="H352" s="1">
        <v>420.8</v>
      </c>
      <c r="J352" s="1">
        <v>139.03</v>
      </c>
      <c r="L352" s="1">
        <v>133.33000000000001</v>
      </c>
      <c r="N352" s="1">
        <v>142.07</v>
      </c>
      <c r="P352" s="1">
        <f t="shared" si="5"/>
        <v>835.23</v>
      </c>
    </row>
    <row r="353" spans="1:16" x14ac:dyDescent="0.25">
      <c r="A353" t="s">
        <v>11</v>
      </c>
      <c r="B353" t="s">
        <v>237</v>
      </c>
      <c r="C353" t="s">
        <v>25</v>
      </c>
      <c r="D353" t="s">
        <v>14</v>
      </c>
      <c r="E353" t="s">
        <v>15</v>
      </c>
      <c r="F353" s="1">
        <v>0</v>
      </c>
      <c r="G353" t="s">
        <v>19</v>
      </c>
      <c r="H353" s="1">
        <v>271.33</v>
      </c>
      <c r="J353" s="1">
        <v>433.13</v>
      </c>
      <c r="L353" s="1">
        <v>450.46</v>
      </c>
      <c r="N353" s="1">
        <v>462.49</v>
      </c>
      <c r="P353" s="1">
        <f t="shared" si="5"/>
        <v>1617.41</v>
      </c>
    </row>
    <row r="354" spans="1:16" x14ac:dyDescent="0.25">
      <c r="A354" t="s">
        <v>11</v>
      </c>
      <c r="B354" t="s">
        <v>237</v>
      </c>
      <c r="C354" t="s">
        <v>28</v>
      </c>
      <c r="D354" t="s">
        <v>14</v>
      </c>
      <c r="E354" t="s">
        <v>15</v>
      </c>
      <c r="F354" s="1">
        <v>0</v>
      </c>
      <c r="G354" t="s">
        <v>19</v>
      </c>
      <c r="H354" s="1">
        <v>9006.2000000000007</v>
      </c>
      <c r="J354" s="1">
        <v>11491.84</v>
      </c>
      <c r="L354" s="1">
        <v>7202.04</v>
      </c>
      <c r="N354" s="1">
        <v>6783.92</v>
      </c>
      <c r="P354" s="1">
        <f t="shared" si="5"/>
        <v>34484</v>
      </c>
    </row>
    <row r="355" spans="1:16" x14ac:dyDescent="0.25">
      <c r="A355" t="s">
        <v>11</v>
      </c>
      <c r="B355" t="s">
        <v>238</v>
      </c>
      <c r="C355" t="s">
        <v>25</v>
      </c>
      <c r="D355" t="s">
        <v>14</v>
      </c>
      <c r="E355" t="s">
        <v>15</v>
      </c>
      <c r="F355" s="1">
        <v>29.82</v>
      </c>
      <c r="H355" s="1">
        <v>17895.77</v>
      </c>
      <c r="J355" s="1">
        <v>11308.65</v>
      </c>
      <c r="L355" s="1">
        <v>4155.1099999999997</v>
      </c>
      <c r="N355" s="1">
        <v>4150.24</v>
      </c>
      <c r="P355" s="1">
        <f t="shared" si="5"/>
        <v>37539.589999999997</v>
      </c>
    </row>
    <row r="356" spans="1:16" x14ac:dyDescent="0.25">
      <c r="A356" t="s">
        <v>11</v>
      </c>
      <c r="B356" t="s">
        <v>238</v>
      </c>
      <c r="C356" t="s">
        <v>28</v>
      </c>
      <c r="D356" t="s">
        <v>14</v>
      </c>
      <c r="E356" t="s">
        <v>15</v>
      </c>
      <c r="F356" s="1">
        <v>268.38</v>
      </c>
      <c r="H356" s="1">
        <v>14767.18</v>
      </c>
      <c r="J356" s="1">
        <v>19805.150000000001</v>
      </c>
      <c r="L356" s="1">
        <v>21611.88</v>
      </c>
      <c r="N356" s="1">
        <v>21820.59</v>
      </c>
      <c r="P356" s="1">
        <f t="shared" si="5"/>
        <v>78273.179999999993</v>
      </c>
    </row>
    <row r="357" spans="1:16" x14ac:dyDescent="0.25">
      <c r="A357" t="s">
        <v>11</v>
      </c>
      <c r="B357" t="s">
        <v>239</v>
      </c>
      <c r="C357" t="s">
        <v>25</v>
      </c>
      <c r="D357" t="s">
        <v>14</v>
      </c>
      <c r="E357" t="s">
        <v>15</v>
      </c>
      <c r="F357" s="1">
        <v>47296.06</v>
      </c>
      <c r="H357" s="1">
        <v>5743.6</v>
      </c>
      <c r="J357" s="1">
        <v>6586.46</v>
      </c>
      <c r="L357" s="1">
        <v>15862.06</v>
      </c>
      <c r="N357" s="1">
        <v>14315.57</v>
      </c>
      <c r="P357" s="1">
        <f t="shared" si="5"/>
        <v>89803.75</v>
      </c>
    </row>
    <row r="358" spans="1:16" x14ac:dyDescent="0.25">
      <c r="A358" t="s">
        <v>11</v>
      </c>
      <c r="B358" t="s">
        <v>239</v>
      </c>
      <c r="C358" t="s">
        <v>28</v>
      </c>
      <c r="D358" t="s">
        <v>14</v>
      </c>
      <c r="E358" t="s">
        <v>15</v>
      </c>
      <c r="F358" s="1">
        <v>118016.45</v>
      </c>
      <c r="H358" s="1">
        <v>56362.74</v>
      </c>
      <c r="J358" s="1">
        <v>38223.86</v>
      </c>
      <c r="L358" s="1">
        <v>54959.85</v>
      </c>
      <c r="N358" s="1">
        <v>68126.460000000006</v>
      </c>
      <c r="P358" s="1">
        <f t="shared" si="5"/>
        <v>335689.36</v>
      </c>
    </row>
    <row r="359" spans="1:16" x14ac:dyDescent="0.25">
      <c r="A359" t="s">
        <v>11</v>
      </c>
      <c r="B359" t="s">
        <v>240</v>
      </c>
      <c r="C359" t="s">
        <v>25</v>
      </c>
      <c r="D359" t="s">
        <v>14</v>
      </c>
      <c r="E359" t="s">
        <v>15</v>
      </c>
      <c r="F359" s="1">
        <v>0</v>
      </c>
      <c r="G359" t="s">
        <v>19</v>
      </c>
      <c r="H359" s="1">
        <v>1232.72</v>
      </c>
      <c r="J359" s="1">
        <v>1365.73</v>
      </c>
      <c r="L359" s="1">
        <v>508.04</v>
      </c>
      <c r="N359" s="1">
        <v>555.97</v>
      </c>
      <c r="P359" s="1">
        <f t="shared" si="5"/>
        <v>3662.46</v>
      </c>
    </row>
    <row r="360" spans="1:16" x14ac:dyDescent="0.25">
      <c r="A360" t="s">
        <v>11</v>
      </c>
      <c r="B360" t="s">
        <v>240</v>
      </c>
      <c r="C360" t="s">
        <v>28</v>
      </c>
      <c r="D360" t="s">
        <v>14</v>
      </c>
      <c r="E360" t="s">
        <v>15</v>
      </c>
      <c r="F360" s="1">
        <v>0</v>
      </c>
      <c r="G360" t="s">
        <v>19</v>
      </c>
      <c r="H360" s="1">
        <v>7229.69</v>
      </c>
      <c r="J360" s="1">
        <v>2096.85</v>
      </c>
      <c r="L360" s="1">
        <v>837.66</v>
      </c>
      <c r="N360" s="1">
        <v>4094.3</v>
      </c>
      <c r="P360" s="1">
        <f t="shared" si="5"/>
        <v>14258.5</v>
      </c>
    </row>
    <row r="361" spans="1:16" x14ac:dyDescent="0.25">
      <c r="A361" t="s">
        <v>11</v>
      </c>
      <c r="B361" t="s">
        <v>241</v>
      </c>
      <c r="C361" t="s">
        <v>25</v>
      </c>
      <c r="D361" t="s">
        <v>14</v>
      </c>
      <c r="E361" t="s">
        <v>15</v>
      </c>
      <c r="F361" s="1">
        <v>23.06</v>
      </c>
      <c r="H361" s="1">
        <v>0</v>
      </c>
      <c r="J361" s="1">
        <v>0</v>
      </c>
      <c r="L361" s="1">
        <v>0</v>
      </c>
      <c r="N361" s="1">
        <v>68.650000000000006</v>
      </c>
      <c r="P361" s="1">
        <f t="shared" si="5"/>
        <v>91.710000000000008</v>
      </c>
    </row>
    <row r="362" spans="1:16" x14ac:dyDescent="0.25">
      <c r="A362" t="s">
        <v>11</v>
      </c>
      <c r="B362" t="s">
        <v>241</v>
      </c>
      <c r="C362" t="s">
        <v>28</v>
      </c>
      <c r="D362" t="s">
        <v>14</v>
      </c>
      <c r="E362" t="s">
        <v>15</v>
      </c>
      <c r="F362" s="1">
        <v>1974.08</v>
      </c>
      <c r="H362" s="1">
        <v>325.52</v>
      </c>
      <c r="J362" s="1">
        <v>589.79</v>
      </c>
      <c r="L362" s="1">
        <v>6.69</v>
      </c>
      <c r="N362" s="1">
        <v>14.6</v>
      </c>
      <c r="P362" s="1">
        <f t="shared" si="5"/>
        <v>2910.68</v>
      </c>
    </row>
    <row r="363" spans="1:16" x14ac:dyDescent="0.25">
      <c r="A363" t="s">
        <v>11</v>
      </c>
      <c r="B363" t="s">
        <v>242</v>
      </c>
      <c r="C363" t="s">
        <v>25</v>
      </c>
      <c r="D363" t="s">
        <v>14</v>
      </c>
      <c r="E363" t="s">
        <v>15</v>
      </c>
      <c r="F363" s="1">
        <v>369.81</v>
      </c>
      <c r="H363" s="1">
        <v>576.91999999999996</v>
      </c>
      <c r="J363" s="1">
        <v>603.22</v>
      </c>
      <c r="L363" s="1">
        <v>431.79</v>
      </c>
      <c r="N363" s="1">
        <v>471.09</v>
      </c>
      <c r="P363" s="1">
        <f t="shared" si="5"/>
        <v>2452.83</v>
      </c>
    </row>
    <row r="364" spans="1:16" x14ac:dyDescent="0.25">
      <c r="A364" t="s">
        <v>11</v>
      </c>
      <c r="B364" t="s">
        <v>242</v>
      </c>
      <c r="C364" t="s">
        <v>28</v>
      </c>
      <c r="D364" t="s">
        <v>14</v>
      </c>
      <c r="E364" t="s">
        <v>15</v>
      </c>
      <c r="F364" s="1">
        <v>122.94</v>
      </c>
      <c r="H364" s="1">
        <v>290.74</v>
      </c>
      <c r="J364" s="1">
        <v>334.82</v>
      </c>
      <c r="L364" s="1">
        <v>2634.26</v>
      </c>
      <c r="N364" s="1">
        <v>420.09</v>
      </c>
      <c r="P364" s="1">
        <f t="shared" si="5"/>
        <v>3802.8500000000004</v>
      </c>
    </row>
    <row r="365" spans="1:16" x14ac:dyDescent="0.25">
      <c r="A365" t="s">
        <v>11</v>
      </c>
      <c r="B365" t="s">
        <v>243</v>
      </c>
      <c r="C365" t="s">
        <v>13</v>
      </c>
      <c r="D365" t="s">
        <v>14</v>
      </c>
      <c r="E365" t="s">
        <v>15</v>
      </c>
      <c r="F365" s="1">
        <v>97659.42</v>
      </c>
      <c r="H365" s="1">
        <v>75073.58</v>
      </c>
      <c r="J365" s="1">
        <v>44299.22</v>
      </c>
      <c r="L365" s="1">
        <v>43481.36</v>
      </c>
      <c r="N365" s="1">
        <v>45285.49</v>
      </c>
      <c r="P365" s="1">
        <f t="shared" si="5"/>
        <v>305799.07</v>
      </c>
    </row>
    <row r="366" spans="1:16" x14ac:dyDescent="0.25">
      <c r="A366" t="s">
        <v>11</v>
      </c>
      <c r="B366" t="s">
        <v>244</v>
      </c>
      <c r="C366" t="s">
        <v>13</v>
      </c>
      <c r="D366" t="s">
        <v>14</v>
      </c>
      <c r="E366" t="s">
        <v>15</v>
      </c>
      <c r="F366" s="1">
        <v>0</v>
      </c>
      <c r="G366" t="s">
        <v>19</v>
      </c>
      <c r="H366" s="1">
        <v>16.47</v>
      </c>
      <c r="J366" s="1">
        <v>1.97</v>
      </c>
      <c r="L366" s="1">
        <v>7.47</v>
      </c>
      <c r="N366" s="1">
        <v>4.88</v>
      </c>
      <c r="P366" s="1">
        <f t="shared" si="5"/>
        <v>30.789999999999996</v>
      </c>
    </row>
    <row r="367" spans="1:16" x14ac:dyDescent="0.25">
      <c r="A367" t="s">
        <v>11</v>
      </c>
      <c r="B367" t="s">
        <v>245</v>
      </c>
      <c r="C367" t="s">
        <v>25</v>
      </c>
      <c r="D367" t="s">
        <v>14</v>
      </c>
      <c r="E367" t="s">
        <v>15</v>
      </c>
      <c r="F367" s="1">
        <v>0</v>
      </c>
      <c r="G367" t="s">
        <v>19</v>
      </c>
      <c r="H367" s="1">
        <v>49.49</v>
      </c>
      <c r="J367" s="1">
        <v>42.46</v>
      </c>
      <c r="L367" s="1">
        <v>8.09</v>
      </c>
      <c r="N367" s="1">
        <v>0</v>
      </c>
      <c r="O367" t="s">
        <v>19</v>
      </c>
      <c r="P367" s="1">
        <f t="shared" si="5"/>
        <v>100.04</v>
      </c>
    </row>
    <row r="368" spans="1:16" x14ac:dyDescent="0.25">
      <c r="A368" t="s">
        <v>11</v>
      </c>
      <c r="B368" t="s">
        <v>245</v>
      </c>
      <c r="C368" t="s">
        <v>28</v>
      </c>
      <c r="D368" t="s">
        <v>14</v>
      </c>
      <c r="E368" t="s">
        <v>15</v>
      </c>
      <c r="F368" s="1">
        <v>0</v>
      </c>
      <c r="G368" t="s">
        <v>19</v>
      </c>
      <c r="H368" s="1">
        <v>5505.73</v>
      </c>
      <c r="J368" s="1">
        <v>10700.54</v>
      </c>
      <c r="L368" s="1">
        <v>8730.1299999999992</v>
      </c>
      <c r="N368" s="1">
        <v>11430.38</v>
      </c>
      <c r="P368" s="1">
        <f t="shared" si="5"/>
        <v>36366.78</v>
      </c>
    </row>
    <row r="369" spans="1:16" x14ac:dyDescent="0.25">
      <c r="A369" t="s">
        <v>11</v>
      </c>
      <c r="B369" t="s">
        <v>246</v>
      </c>
      <c r="C369" t="s">
        <v>25</v>
      </c>
      <c r="D369" t="s">
        <v>14</v>
      </c>
      <c r="E369" t="s">
        <v>15</v>
      </c>
      <c r="F369" s="1">
        <v>274.27</v>
      </c>
      <c r="H369" s="1">
        <v>4751.88</v>
      </c>
      <c r="J369" s="1">
        <v>9261.2999999999993</v>
      </c>
      <c r="L369" s="1">
        <v>5927.68</v>
      </c>
      <c r="N369" s="1">
        <v>6076.2</v>
      </c>
      <c r="P369" s="1">
        <f t="shared" si="5"/>
        <v>26291.329999999998</v>
      </c>
    </row>
    <row r="370" spans="1:16" x14ac:dyDescent="0.25">
      <c r="A370" t="s">
        <v>11</v>
      </c>
      <c r="B370" t="s">
        <v>246</v>
      </c>
      <c r="C370" t="s">
        <v>28</v>
      </c>
      <c r="D370" t="s">
        <v>14</v>
      </c>
      <c r="E370" t="s">
        <v>15</v>
      </c>
      <c r="F370" s="1">
        <v>1808.97</v>
      </c>
      <c r="H370" s="1">
        <v>30386.65</v>
      </c>
      <c r="J370" s="1">
        <v>32672.33</v>
      </c>
      <c r="L370" s="1">
        <v>30161.119999999999</v>
      </c>
      <c r="N370" s="1">
        <v>39531.519999999997</v>
      </c>
      <c r="P370" s="1">
        <f t="shared" si="5"/>
        <v>134560.59</v>
      </c>
    </row>
    <row r="371" spans="1:16" x14ac:dyDescent="0.25">
      <c r="A371" t="s">
        <v>11</v>
      </c>
      <c r="B371" t="s">
        <v>247</v>
      </c>
      <c r="C371" t="s">
        <v>25</v>
      </c>
      <c r="D371" t="s">
        <v>14</v>
      </c>
      <c r="E371" t="s">
        <v>15</v>
      </c>
      <c r="F371" s="1">
        <v>981.66</v>
      </c>
      <c r="H371" s="1">
        <v>1875.9</v>
      </c>
      <c r="J371" s="1">
        <v>2149.65</v>
      </c>
      <c r="L371" s="1">
        <v>1411.08</v>
      </c>
      <c r="N371" s="1">
        <v>2360.9499999999998</v>
      </c>
      <c r="P371" s="1">
        <f t="shared" si="5"/>
        <v>8779.24</v>
      </c>
    </row>
    <row r="372" spans="1:16" x14ac:dyDescent="0.25">
      <c r="A372" t="s">
        <v>11</v>
      </c>
      <c r="B372" t="s">
        <v>247</v>
      </c>
      <c r="C372" t="s">
        <v>28</v>
      </c>
      <c r="D372" t="s">
        <v>14</v>
      </c>
      <c r="E372" t="s">
        <v>15</v>
      </c>
      <c r="F372" s="1">
        <v>2049.1999999999998</v>
      </c>
      <c r="H372" s="1">
        <v>196.2</v>
      </c>
      <c r="J372" s="1">
        <v>445.76</v>
      </c>
      <c r="L372" s="1">
        <v>622.27</v>
      </c>
      <c r="N372" s="1">
        <v>290.41000000000003</v>
      </c>
      <c r="P372" s="1">
        <f t="shared" si="5"/>
        <v>3603.8399999999997</v>
      </c>
    </row>
    <row r="373" spans="1:16" x14ac:dyDescent="0.25">
      <c r="A373" t="s">
        <v>11</v>
      </c>
      <c r="B373" t="s">
        <v>248</v>
      </c>
      <c r="C373" t="s">
        <v>25</v>
      </c>
      <c r="D373" t="s">
        <v>14</v>
      </c>
      <c r="E373" t="s">
        <v>15</v>
      </c>
      <c r="F373" s="1">
        <v>2683.43</v>
      </c>
      <c r="H373" s="1">
        <v>0</v>
      </c>
      <c r="I373" t="s">
        <v>19</v>
      </c>
      <c r="J373" s="1">
        <v>0</v>
      </c>
      <c r="K373" t="s">
        <v>19</v>
      </c>
      <c r="L373" s="1">
        <v>0</v>
      </c>
      <c r="M373" t="s">
        <v>19</v>
      </c>
      <c r="N373" s="1">
        <v>0</v>
      </c>
      <c r="O373" t="s">
        <v>19</v>
      </c>
      <c r="P373" s="1">
        <f t="shared" si="5"/>
        <v>2683.43</v>
      </c>
    </row>
    <row r="374" spans="1:16" x14ac:dyDescent="0.25">
      <c r="A374" t="s">
        <v>11</v>
      </c>
      <c r="B374" t="s">
        <v>248</v>
      </c>
      <c r="C374" t="s">
        <v>28</v>
      </c>
      <c r="D374" t="s">
        <v>14</v>
      </c>
      <c r="E374" t="s">
        <v>15</v>
      </c>
      <c r="F374" s="1">
        <v>10415.94</v>
      </c>
      <c r="H374" s="1">
        <v>0</v>
      </c>
      <c r="I374" t="s">
        <v>19</v>
      </c>
      <c r="J374" s="1">
        <v>0</v>
      </c>
      <c r="K374" t="s">
        <v>19</v>
      </c>
      <c r="L374" s="1">
        <v>0</v>
      </c>
      <c r="M374" t="s">
        <v>19</v>
      </c>
      <c r="N374" s="1">
        <v>0</v>
      </c>
      <c r="O374" t="s">
        <v>19</v>
      </c>
      <c r="P374" s="1">
        <f t="shared" si="5"/>
        <v>10415.94</v>
      </c>
    </row>
    <row r="375" spans="1:16" x14ac:dyDescent="0.25">
      <c r="A375" t="s">
        <v>11</v>
      </c>
      <c r="B375" t="s">
        <v>249</v>
      </c>
      <c r="C375" t="s">
        <v>25</v>
      </c>
      <c r="D375" t="s">
        <v>14</v>
      </c>
      <c r="E375" t="s">
        <v>15</v>
      </c>
      <c r="F375" s="1">
        <v>0</v>
      </c>
      <c r="G375" t="s">
        <v>19</v>
      </c>
      <c r="H375" s="1">
        <v>7539.65</v>
      </c>
      <c r="J375" s="1">
        <v>10251.07</v>
      </c>
      <c r="L375" s="1">
        <v>6695.87</v>
      </c>
      <c r="N375" s="1">
        <v>5683.54</v>
      </c>
      <c r="P375" s="1">
        <f t="shared" si="5"/>
        <v>30170.13</v>
      </c>
    </row>
    <row r="376" spans="1:16" x14ac:dyDescent="0.25">
      <c r="A376" t="s">
        <v>11</v>
      </c>
      <c r="B376" t="s">
        <v>249</v>
      </c>
      <c r="C376" t="s">
        <v>28</v>
      </c>
      <c r="D376" t="s">
        <v>14</v>
      </c>
      <c r="E376" t="s">
        <v>15</v>
      </c>
      <c r="F376" s="1">
        <v>0</v>
      </c>
      <c r="G376" t="s">
        <v>19</v>
      </c>
      <c r="H376" s="1">
        <v>17108.14</v>
      </c>
      <c r="J376" s="1">
        <v>45241.46</v>
      </c>
      <c r="L376" s="1">
        <v>42117.25</v>
      </c>
      <c r="N376" s="1">
        <v>34791.81</v>
      </c>
      <c r="P376" s="1">
        <f t="shared" si="5"/>
        <v>139258.66</v>
      </c>
    </row>
    <row r="377" spans="1:16" x14ac:dyDescent="0.25">
      <c r="A377" t="s">
        <v>11</v>
      </c>
      <c r="B377" t="s">
        <v>250</v>
      </c>
      <c r="C377" t="s">
        <v>25</v>
      </c>
      <c r="D377" t="s">
        <v>14</v>
      </c>
      <c r="E377" t="s">
        <v>15</v>
      </c>
      <c r="F377" s="1">
        <v>24850.2</v>
      </c>
      <c r="H377" s="1">
        <v>16771.88</v>
      </c>
      <c r="J377" s="1">
        <v>8611.26</v>
      </c>
      <c r="L377" s="1">
        <v>8145.34</v>
      </c>
      <c r="N377" s="1">
        <v>7276.41</v>
      </c>
      <c r="P377" s="1">
        <f t="shared" si="5"/>
        <v>65655.090000000011</v>
      </c>
    </row>
    <row r="378" spans="1:16" x14ac:dyDescent="0.25">
      <c r="A378" t="s">
        <v>11</v>
      </c>
      <c r="B378" t="s">
        <v>250</v>
      </c>
      <c r="C378" t="s">
        <v>28</v>
      </c>
      <c r="D378" t="s">
        <v>14</v>
      </c>
      <c r="E378" t="s">
        <v>15</v>
      </c>
      <c r="F378" s="1">
        <v>65936.81</v>
      </c>
      <c r="H378" s="1">
        <v>60989.2</v>
      </c>
      <c r="J378" s="1">
        <v>35231.42</v>
      </c>
      <c r="L378" s="1">
        <v>49167.18</v>
      </c>
      <c r="N378" s="1">
        <v>56058.28</v>
      </c>
      <c r="P378" s="1">
        <f t="shared" si="5"/>
        <v>267382.89</v>
      </c>
    </row>
    <row r="379" spans="1:16" x14ac:dyDescent="0.25">
      <c r="A379" t="s">
        <v>11</v>
      </c>
      <c r="B379" t="s">
        <v>251</v>
      </c>
      <c r="C379" t="s">
        <v>25</v>
      </c>
      <c r="D379" t="s">
        <v>14</v>
      </c>
      <c r="E379" t="s">
        <v>15</v>
      </c>
      <c r="F379" s="1">
        <v>0</v>
      </c>
      <c r="G379" t="s">
        <v>19</v>
      </c>
      <c r="H379" s="1">
        <v>66.06</v>
      </c>
      <c r="J379" s="1">
        <v>35.57</v>
      </c>
      <c r="L379" s="1">
        <v>233.23</v>
      </c>
      <c r="N379" s="1">
        <v>79.45</v>
      </c>
      <c r="P379" s="1">
        <f t="shared" si="5"/>
        <v>414.31</v>
      </c>
    </row>
    <row r="380" spans="1:16" x14ac:dyDescent="0.25">
      <c r="A380" t="s">
        <v>11</v>
      </c>
      <c r="B380" t="s">
        <v>251</v>
      </c>
      <c r="C380" t="s">
        <v>28</v>
      </c>
      <c r="D380" t="s">
        <v>14</v>
      </c>
      <c r="E380" t="s">
        <v>15</v>
      </c>
      <c r="F380" s="1">
        <v>0</v>
      </c>
      <c r="G380" t="s">
        <v>19</v>
      </c>
      <c r="H380" s="1">
        <v>348.83</v>
      </c>
      <c r="J380" s="1">
        <v>467</v>
      </c>
      <c r="L380" s="1">
        <v>512.35</v>
      </c>
      <c r="N380" s="1">
        <v>893.24</v>
      </c>
      <c r="P380" s="1">
        <f t="shared" si="5"/>
        <v>2221.42</v>
      </c>
    </row>
    <row r="381" spans="1:16" x14ac:dyDescent="0.25">
      <c r="A381" t="s">
        <v>11</v>
      </c>
      <c r="B381" t="s">
        <v>252</v>
      </c>
      <c r="C381" t="s">
        <v>13</v>
      </c>
      <c r="D381" t="s">
        <v>14</v>
      </c>
      <c r="E381" t="s">
        <v>15</v>
      </c>
      <c r="F381" s="1">
        <v>32294.21</v>
      </c>
      <c r="H381" s="1">
        <v>22890.43</v>
      </c>
      <c r="J381" s="1">
        <v>21217.45</v>
      </c>
      <c r="L381" s="1">
        <v>15492.75</v>
      </c>
      <c r="N381" s="1">
        <v>12698.15</v>
      </c>
      <c r="P381" s="1">
        <f t="shared" si="5"/>
        <v>104592.98999999999</v>
      </c>
    </row>
    <row r="382" spans="1:16" x14ac:dyDescent="0.25">
      <c r="A382" t="s">
        <v>11</v>
      </c>
      <c r="B382" t="s">
        <v>253</v>
      </c>
      <c r="C382" t="s">
        <v>25</v>
      </c>
      <c r="D382" t="s">
        <v>14</v>
      </c>
      <c r="E382" t="s">
        <v>15</v>
      </c>
      <c r="F382" s="1">
        <v>3330.6</v>
      </c>
      <c r="H382" s="1">
        <v>3882.61</v>
      </c>
      <c r="J382" s="1">
        <v>5677.79</v>
      </c>
      <c r="L382" s="1">
        <v>4530.7700000000004</v>
      </c>
      <c r="N382" s="1">
        <v>4670.3</v>
      </c>
      <c r="P382" s="1">
        <f t="shared" si="5"/>
        <v>22092.07</v>
      </c>
    </row>
    <row r="383" spans="1:16" x14ac:dyDescent="0.25">
      <c r="A383" t="s">
        <v>11</v>
      </c>
      <c r="B383" t="s">
        <v>253</v>
      </c>
      <c r="C383" t="s">
        <v>28</v>
      </c>
      <c r="D383" t="s">
        <v>14</v>
      </c>
      <c r="E383" t="s">
        <v>15</v>
      </c>
      <c r="F383" s="1">
        <v>364.16</v>
      </c>
      <c r="H383" s="1">
        <v>1410.03</v>
      </c>
      <c r="J383" s="1">
        <v>472.33</v>
      </c>
      <c r="L383" s="1">
        <v>1102.1600000000001</v>
      </c>
      <c r="N383" s="1">
        <v>466</v>
      </c>
      <c r="P383" s="1">
        <f t="shared" si="5"/>
        <v>3814.6800000000003</v>
      </c>
    </row>
    <row r="384" spans="1:16" x14ac:dyDescent="0.25">
      <c r="A384" t="s">
        <v>11</v>
      </c>
      <c r="B384" t="s">
        <v>254</v>
      </c>
      <c r="C384" t="s">
        <v>25</v>
      </c>
      <c r="D384" t="s">
        <v>14</v>
      </c>
      <c r="E384" t="s">
        <v>15</v>
      </c>
      <c r="F384" s="1">
        <v>0</v>
      </c>
      <c r="G384" t="s">
        <v>19</v>
      </c>
      <c r="H384" s="1">
        <v>5881.29</v>
      </c>
      <c r="J384" s="1">
        <v>5017.01</v>
      </c>
      <c r="L384" s="1">
        <v>4433.5200000000004</v>
      </c>
      <c r="N384" s="1">
        <v>4618.78</v>
      </c>
      <c r="P384" s="1">
        <f t="shared" si="5"/>
        <v>19950.599999999999</v>
      </c>
    </row>
    <row r="385" spans="1:16" x14ac:dyDescent="0.25">
      <c r="A385" t="s">
        <v>11</v>
      </c>
      <c r="B385" t="s">
        <v>254</v>
      </c>
      <c r="C385" t="s">
        <v>28</v>
      </c>
      <c r="D385" t="s">
        <v>14</v>
      </c>
      <c r="E385" t="s">
        <v>15</v>
      </c>
      <c r="F385" s="1">
        <v>0</v>
      </c>
      <c r="G385" t="s">
        <v>19</v>
      </c>
      <c r="H385" s="1">
        <v>8256.1299999999992</v>
      </c>
      <c r="J385" s="1">
        <v>7341.81</v>
      </c>
      <c r="L385" s="1">
        <v>7124.95</v>
      </c>
      <c r="N385" s="1">
        <v>11121.83</v>
      </c>
      <c r="P385" s="1">
        <f t="shared" si="5"/>
        <v>33844.720000000001</v>
      </c>
    </row>
    <row r="386" spans="1:16" x14ac:dyDescent="0.25">
      <c r="A386" t="s">
        <v>11</v>
      </c>
      <c r="B386" t="s">
        <v>255</v>
      </c>
      <c r="C386" t="s">
        <v>13</v>
      </c>
      <c r="D386" t="s">
        <v>14</v>
      </c>
      <c r="E386" t="s">
        <v>15</v>
      </c>
      <c r="F386" s="1">
        <v>0</v>
      </c>
      <c r="G386" t="s">
        <v>19</v>
      </c>
      <c r="H386" s="1">
        <v>9722.27</v>
      </c>
      <c r="J386" s="1">
        <v>1978.54</v>
      </c>
      <c r="L386" s="1">
        <v>6004.88</v>
      </c>
      <c r="N386" s="1">
        <v>9222.09</v>
      </c>
      <c r="P386" s="1">
        <f t="shared" si="5"/>
        <v>26927.780000000002</v>
      </c>
    </row>
    <row r="387" spans="1:16" x14ac:dyDescent="0.25">
      <c r="A387" t="s">
        <v>11</v>
      </c>
      <c r="B387" t="s">
        <v>256</v>
      </c>
      <c r="C387" t="s">
        <v>25</v>
      </c>
      <c r="D387" t="s">
        <v>14</v>
      </c>
      <c r="E387" t="s">
        <v>15</v>
      </c>
      <c r="F387" s="1">
        <v>789.38</v>
      </c>
      <c r="H387" s="1">
        <v>344.56</v>
      </c>
      <c r="J387" s="1">
        <v>136.41999999999999</v>
      </c>
      <c r="L387" s="1">
        <v>120.35</v>
      </c>
      <c r="N387" s="1">
        <v>55.55</v>
      </c>
      <c r="P387" s="1">
        <f t="shared" ref="P387:P415" si="6">SUM(F387,H387,J387,L387,N387)</f>
        <v>1446.26</v>
      </c>
    </row>
    <row r="388" spans="1:16" x14ac:dyDescent="0.25">
      <c r="A388" t="s">
        <v>11</v>
      </c>
      <c r="B388" t="s">
        <v>256</v>
      </c>
      <c r="C388" t="s">
        <v>28</v>
      </c>
      <c r="D388" t="s">
        <v>14</v>
      </c>
      <c r="E388" t="s">
        <v>15</v>
      </c>
      <c r="F388" s="1">
        <v>378.18</v>
      </c>
      <c r="H388" s="1">
        <v>510.87</v>
      </c>
      <c r="J388" s="1">
        <v>6.19</v>
      </c>
      <c r="L388" s="1">
        <v>158.76</v>
      </c>
      <c r="N388" s="1">
        <v>2.16</v>
      </c>
      <c r="P388" s="1">
        <f t="shared" si="6"/>
        <v>1056.1600000000001</v>
      </c>
    </row>
    <row r="389" spans="1:16" x14ac:dyDescent="0.25">
      <c r="A389" t="s">
        <v>11</v>
      </c>
      <c r="B389" t="s">
        <v>257</v>
      </c>
      <c r="C389" t="s">
        <v>25</v>
      </c>
      <c r="D389" t="s">
        <v>14</v>
      </c>
      <c r="E389" t="s">
        <v>15</v>
      </c>
      <c r="F389" s="1">
        <v>0</v>
      </c>
      <c r="G389" t="s">
        <v>19</v>
      </c>
      <c r="H389" s="1">
        <v>5222.93</v>
      </c>
      <c r="J389" s="1">
        <v>7815.04</v>
      </c>
      <c r="L389" s="1">
        <v>11309.8</v>
      </c>
      <c r="N389" s="1">
        <v>10322.35</v>
      </c>
      <c r="P389" s="1">
        <f t="shared" si="6"/>
        <v>34670.120000000003</v>
      </c>
    </row>
    <row r="390" spans="1:16" x14ac:dyDescent="0.25">
      <c r="A390" t="s">
        <v>11</v>
      </c>
      <c r="B390" t="s">
        <v>257</v>
      </c>
      <c r="C390" t="s">
        <v>28</v>
      </c>
      <c r="D390" t="s">
        <v>14</v>
      </c>
      <c r="E390" t="s">
        <v>15</v>
      </c>
      <c r="F390" s="1">
        <v>0</v>
      </c>
      <c r="G390" t="s">
        <v>19</v>
      </c>
      <c r="H390" s="1">
        <v>691.21</v>
      </c>
      <c r="J390" s="1">
        <v>786.06</v>
      </c>
      <c r="L390" s="1">
        <v>638.45000000000005</v>
      </c>
      <c r="N390" s="1">
        <v>750.06</v>
      </c>
      <c r="P390" s="1">
        <f t="shared" si="6"/>
        <v>2865.78</v>
      </c>
    </row>
    <row r="391" spans="1:16" x14ac:dyDescent="0.25">
      <c r="A391" t="s">
        <v>11</v>
      </c>
      <c r="B391" t="s">
        <v>258</v>
      </c>
      <c r="C391" t="s">
        <v>25</v>
      </c>
      <c r="D391" t="s">
        <v>14</v>
      </c>
      <c r="E391" t="s">
        <v>15</v>
      </c>
      <c r="F391" s="1">
        <v>0</v>
      </c>
      <c r="G391" t="s">
        <v>19</v>
      </c>
      <c r="H391" s="1">
        <v>11169.68</v>
      </c>
      <c r="J391" s="1">
        <v>12104.92</v>
      </c>
      <c r="L391" s="1">
        <v>12603.69</v>
      </c>
      <c r="N391" s="1">
        <v>9422.14</v>
      </c>
      <c r="P391" s="1">
        <f t="shared" si="6"/>
        <v>45300.43</v>
      </c>
    </row>
    <row r="392" spans="1:16" x14ac:dyDescent="0.25">
      <c r="A392" t="s">
        <v>11</v>
      </c>
      <c r="B392" t="s">
        <v>258</v>
      </c>
      <c r="C392" t="s">
        <v>28</v>
      </c>
      <c r="D392" t="s">
        <v>14</v>
      </c>
      <c r="E392" t="s">
        <v>15</v>
      </c>
      <c r="F392" s="1">
        <v>0</v>
      </c>
      <c r="G392" t="s">
        <v>19</v>
      </c>
      <c r="H392" s="1">
        <v>13368.42</v>
      </c>
      <c r="J392" s="1">
        <v>14141.31</v>
      </c>
      <c r="L392" s="1">
        <v>13787.33</v>
      </c>
      <c r="N392" s="1">
        <v>12577.11</v>
      </c>
      <c r="P392" s="1">
        <f t="shared" si="6"/>
        <v>53874.17</v>
      </c>
    </row>
    <row r="393" spans="1:16" x14ac:dyDescent="0.25">
      <c r="A393" t="s">
        <v>11</v>
      </c>
      <c r="B393" t="s">
        <v>259</v>
      </c>
      <c r="C393" t="s">
        <v>13</v>
      </c>
      <c r="D393" t="s">
        <v>14</v>
      </c>
      <c r="E393" t="s">
        <v>15</v>
      </c>
      <c r="F393" s="1">
        <v>18115.330000000002</v>
      </c>
      <c r="H393" s="1">
        <v>23112.33</v>
      </c>
      <c r="J393" s="1">
        <v>14975.99</v>
      </c>
      <c r="L393" s="1">
        <v>15403.58</v>
      </c>
      <c r="N393" s="1">
        <v>13376.01</v>
      </c>
      <c r="P393" s="1">
        <f t="shared" si="6"/>
        <v>84983.239999999991</v>
      </c>
    </row>
    <row r="394" spans="1:16" x14ac:dyDescent="0.25">
      <c r="A394" t="s">
        <v>11</v>
      </c>
      <c r="B394" t="s">
        <v>260</v>
      </c>
      <c r="C394" t="s">
        <v>25</v>
      </c>
      <c r="D394" t="s">
        <v>14</v>
      </c>
      <c r="E394" t="s">
        <v>15</v>
      </c>
      <c r="F394" s="1">
        <v>0</v>
      </c>
      <c r="G394" t="s">
        <v>19</v>
      </c>
      <c r="H394" s="1">
        <v>4625.87</v>
      </c>
      <c r="J394" s="1">
        <v>3261.73</v>
      </c>
      <c r="L394" s="1">
        <v>2327.69</v>
      </c>
      <c r="N394" s="1">
        <v>2354.46</v>
      </c>
      <c r="P394" s="1">
        <f t="shared" si="6"/>
        <v>12569.75</v>
      </c>
    </row>
    <row r="395" spans="1:16" x14ac:dyDescent="0.25">
      <c r="A395" t="s">
        <v>11</v>
      </c>
      <c r="B395" t="s">
        <v>260</v>
      </c>
      <c r="C395" t="s">
        <v>28</v>
      </c>
      <c r="D395" t="s">
        <v>14</v>
      </c>
      <c r="E395" t="s">
        <v>15</v>
      </c>
      <c r="F395" s="1">
        <v>0</v>
      </c>
      <c r="G395" t="s">
        <v>19</v>
      </c>
      <c r="H395" s="1">
        <v>9512.6299999999992</v>
      </c>
      <c r="J395" s="1">
        <v>10113.620000000001</v>
      </c>
      <c r="L395" s="1">
        <v>13511.15</v>
      </c>
      <c r="N395" s="1">
        <v>14284.48</v>
      </c>
      <c r="P395" s="1">
        <f t="shared" si="6"/>
        <v>47421.880000000005</v>
      </c>
    </row>
    <row r="396" spans="1:16" x14ac:dyDescent="0.25">
      <c r="A396" t="s">
        <v>11</v>
      </c>
      <c r="B396" t="s">
        <v>261</v>
      </c>
      <c r="C396" t="s">
        <v>25</v>
      </c>
      <c r="D396" t="s">
        <v>14</v>
      </c>
      <c r="E396" t="s">
        <v>15</v>
      </c>
      <c r="F396" s="1">
        <v>0</v>
      </c>
      <c r="G396" t="s">
        <v>19</v>
      </c>
      <c r="H396" s="1">
        <v>2080.4699999999998</v>
      </c>
      <c r="J396" s="1">
        <v>1181.97</v>
      </c>
      <c r="L396" s="1">
        <v>1070.48</v>
      </c>
      <c r="N396" s="1">
        <v>1032.69</v>
      </c>
      <c r="P396" s="1">
        <f t="shared" si="6"/>
        <v>5365.6100000000006</v>
      </c>
    </row>
    <row r="397" spans="1:16" x14ac:dyDescent="0.25">
      <c r="A397" t="s">
        <v>11</v>
      </c>
      <c r="B397" t="s">
        <v>261</v>
      </c>
      <c r="C397" t="s">
        <v>28</v>
      </c>
      <c r="D397" t="s">
        <v>14</v>
      </c>
      <c r="E397" t="s">
        <v>15</v>
      </c>
      <c r="F397" s="1">
        <v>0</v>
      </c>
      <c r="G397" t="s">
        <v>19</v>
      </c>
      <c r="H397" s="1">
        <v>8371.98</v>
      </c>
      <c r="J397" s="1">
        <v>7190.76</v>
      </c>
      <c r="L397" s="1">
        <v>9012.25</v>
      </c>
      <c r="N397" s="1">
        <v>8568.2999999999993</v>
      </c>
      <c r="P397" s="1">
        <f t="shared" si="6"/>
        <v>33143.289999999994</v>
      </c>
    </row>
    <row r="398" spans="1:16" x14ac:dyDescent="0.25">
      <c r="A398" t="s">
        <v>11</v>
      </c>
      <c r="B398" t="s">
        <v>262</v>
      </c>
      <c r="C398" t="s">
        <v>25</v>
      </c>
      <c r="D398" t="s">
        <v>14</v>
      </c>
      <c r="E398" t="s">
        <v>15</v>
      </c>
      <c r="F398" s="1">
        <v>1436.71</v>
      </c>
      <c r="H398" s="1">
        <v>3532.94</v>
      </c>
      <c r="J398" s="1">
        <v>3070.34</v>
      </c>
      <c r="L398" s="1">
        <v>2997.79</v>
      </c>
      <c r="N398" s="1">
        <v>3114.84</v>
      </c>
      <c r="P398" s="1">
        <f t="shared" si="6"/>
        <v>14152.619999999999</v>
      </c>
    </row>
    <row r="399" spans="1:16" x14ac:dyDescent="0.25">
      <c r="A399" t="s">
        <v>11</v>
      </c>
      <c r="B399" t="s">
        <v>262</v>
      </c>
      <c r="C399" t="s">
        <v>28</v>
      </c>
      <c r="D399" t="s">
        <v>14</v>
      </c>
      <c r="E399" t="s">
        <v>15</v>
      </c>
      <c r="F399" s="1">
        <v>5496.64</v>
      </c>
      <c r="H399" s="1">
        <v>1186.3800000000001</v>
      </c>
      <c r="J399" s="1">
        <v>5696.42</v>
      </c>
      <c r="L399" s="1">
        <v>3570.66</v>
      </c>
      <c r="N399" s="1">
        <v>2841.45</v>
      </c>
      <c r="P399" s="1">
        <f t="shared" si="6"/>
        <v>18791.55</v>
      </c>
    </row>
    <row r="400" spans="1:16" x14ac:dyDescent="0.25">
      <c r="A400" t="s">
        <v>11</v>
      </c>
      <c r="B400" t="s">
        <v>264</v>
      </c>
      <c r="C400" t="s">
        <v>25</v>
      </c>
      <c r="D400" t="s">
        <v>14</v>
      </c>
      <c r="E400" t="s">
        <v>15</v>
      </c>
      <c r="F400" s="1">
        <v>150.76</v>
      </c>
      <c r="H400" s="1">
        <v>0</v>
      </c>
      <c r="J400" s="1">
        <v>7.29</v>
      </c>
      <c r="L400" s="1">
        <v>0</v>
      </c>
      <c r="N400" s="1">
        <v>2</v>
      </c>
      <c r="P400" s="1">
        <f t="shared" si="6"/>
        <v>160.04999999999998</v>
      </c>
    </row>
    <row r="401" spans="1:16" x14ac:dyDescent="0.25">
      <c r="A401" t="s">
        <v>11</v>
      </c>
      <c r="B401" t="s">
        <v>264</v>
      </c>
      <c r="C401" t="s">
        <v>28</v>
      </c>
      <c r="D401" t="s">
        <v>14</v>
      </c>
      <c r="E401" t="s">
        <v>15</v>
      </c>
      <c r="F401" s="1">
        <v>0</v>
      </c>
      <c r="G401" t="s">
        <v>19</v>
      </c>
      <c r="H401" s="1">
        <v>37.57</v>
      </c>
      <c r="J401" s="1">
        <v>185.47</v>
      </c>
      <c r="L401" s="1">
        <v>153.49</v>
      </c>
      <c r="N401" s="1">
        <v>115.51</v>
      </c>
      <c r="P401" s="1">
        <f t="shared" si="6"/>
        <v>492.03999999999996</v>
      </c>
    </row>
    <row r="402" spans="1:16" x14ac:dyDescent="0.25">
      <c r="A402" t="s">
        <v>11</v>
      </c>
      <c r="B402" t="s">
        <v>265</v>
      </c>
      <c r="C402" t="s">
        <v>25</v>
      </c>
      <c r="D402" t="s">
        <v>14</v>
      </c>
      <c r="E402" t="s">
        <v>15</v>
      </c>
      <c r="F402" s="1">
        <v>0</v>
      </c>
      <c r="G402" t="s">
        <v>19</v>
      </c>
      <c r="H402" s="1">
        <v>474.8</v>
      </c>
      <c r="J402" s="1">
        <v>0</v>
      </c>
      <c r="K402" t="s">
        <v>19</v>
      </c>
      <c r="L402" s="1">
        <v>0</v>
      </c>
      <c r="M402" t="s">
        <v>19</v>
      </c>
      <c r="N402" s="1">
        <v>0</v>
      </c>
      <c r="O402" t="s">
        <v>19</v>
      </c>
      <c r="P402" s="1">
        <f t="shared" si="6"/>
        <v>474.8</v>
      </c>
    </row>
    <row r="403" spans="1:16" x14ac:dyDescent="0.25">
      <c r="A403" t="s">
        <v>11</v>
      </c>
      <c r="B403" t="s">
        <v>265</v>
      </c>
      <c r="C403" t="s">
        <v>28</v>
      </c>
      <c r="D403" t="s">
        <v>14</v>
      </c>
      <c r="E403" t="s">
        <v>15</v>
      </c>
      <c r="F403" s="1">
        <v>0</v>
      </c>
      <c r="G403" t="s">
        <v>19</v>
      </c>
      <c r="H403" s="1">
        <v>0</v>
      </c>
      <c r="I403" t="s">
        <v>19</v>
      </c>
      <c r="J403" s="1">
        <v>0</v>
      </c>
      <c r="K403" t="s">
        <v>19</v>
      </c>
      <c r="L403" s="1">
        <v>874.68</v>
      </c>
      <c r="N403" s="1">
        <v>822.63</v>
      </c>
      <c r="P403" s="1">
        <f t="shared" si="6"/>
        <v>1697.31</v>
      </c>
    </row>
    <row r="404" spans="1:16" x14ac:dyDescent="0.25">
      <c r="A404" t="s">
        <v>11</v>
      </c>
      <c r="B404" t="s">
        <v>267</v>
      </c>
      <c r="C404" t="s">
        <v>25</v>
      </c>
      <c r="D404" t="s">
        <v>14</v>
      </c>
      <c r="E404" t="s">
        <v>15</v>
      </c>
      <c r="F404" s="1">
        <v>2512.46</v>
      </c>
      <c r="H404" s="1">
        <v>3002.07</v>
      </c>
      <c r="J404" s="1">
        <v>3580.41</v>
      </c>
      <c r="L404" s="1">
        <v>5153.99</v>
      </c>
      <c r="N404" s="1">
        <v>5466.38</v>
      </c>
      <c r="P404" s="1">
        <f t="shared" si="6"/>
        <v>19715.310000000001</v>
      </c>
    </row>
    <row r="405" spans="1:16" x14ac:dyDescent="0.25">
      <c r="A405" t="s">
        <v>11</v>
      </c>
      <c r="B405" t="s">
        <v>267</v>
      </c>
      <c r="C405" t="s">
        <v>28</v>
      </c>
      <c r="D405" t="s">
        <v>14</v>
      </c>
      <c r="E405" t="s">
        <v>15</v>
      </c>
      <c r="F405" s="1">
        <v>9034.51</v>
      </c>
      <c r="H405" s="1">
        <v>12967.14</v>
      </c>
      <c r="J405" s="1">
        <v>11099.26</v>
      </c>
      <c r="L405" s="1">
        <v>12797.28</v>
      </c>
      <c r="N405" s="1">
        <v>39622.81</v>
      </c>
      <c r="P405" s="1">
        <f t="shared" si="6"/>
        <v>85521</v>
      </c>
    </row>
    <row r="406" spans="1:16" x14ac:dyDescent="0.25">
      <c r="A406" t="s">
        <v>11</v>
      </c>
      <c r="B406" t="s">
        <v>268</v>
      </c>
      <c r="C406" t="s">
        <v>25</v>
      </c>
      <c r="D406" t="s">
        <v>14</v>
      </c>
      <c r="E406" t="s">
        <v>15</v>
      </c>
      <c r="F406" s="1">
        <v>0</v>
      </c>
      <c r="G406" t="s">
        <v>19</v>
      </c>
      <c r="H406" s="1">
        <v>225.67</v>
      </c>
      <c r="J406" s="1">
        <v>56.89</v>
      </c>
      <c r="L406" s="1">
        <v>131.94</v>
      </c>
      <c r="N406" s="1">
        <v>143.35</v>
      </c>
      <c r="P406" s="1">
        <f t="shared" si="6"/>
        <v>557.85</v>
      </c>
    </row>
    <row r="407" spans="1:16" x14ac:dyDescent="0.25">
      <c r="A407" t="s">
        <v>11</v>
      </c>
      <c r="B407" t="s">
        <v>268</v>
      </c>
      <c r="C407" t="s">
        <v>28</v>
      </c>
      <c r="D407" t="s">
        <v>14</v>
      </c>
      <c r="E407" t="s">
        <v>15</v>
      </c>
      <c r="F407" s="1">
        <v>0</v>
      </c>
      <c r="G407" t="s">
        <v>19</v>
      </c>
      <c r="H407" s="1">
        <v>2208.0300000000002</v>
      </c>
      <c r="J407" s="1">
        <v>6574.6</v>
      </c>
      <c r="L407" s="1">
        <v>2817.57</v>
      </c>
      <c r="N407" s="1">
        <v>3019.91</v>
      </c>
      <c r="P407" s="1">
        <f t="shared" si="6"/>
        <v>14620.11</v>
      </c>
    </row>
    <row r="408" spans="1:16" x14ac:dyDescent="0.25">
      <c r="A408" t="s">
        <v>11</v>
      </c>
      <c r="B408" t="s">
        <v>269</v>
      </c>
      <c r="C408" t="s">
        <v>25</v>
      </c>
      <c r="D408" t="s">
        <v>14</v>
      </c>
      <c r="E408" t="s">
        <v>15</v>
      </c>
      <c r="F408" s="1">
        <v>22636.46</v>
      </c>
      <c r="H408" s="1">
        <v>35553.22</v>
      </c>
      <c r="J408" s="1">
        <v>31154.66</v>
      </c>
      <c r="L408" s="1">
        <v>39116.769999999997</v>
      </c>
      <c r="N408" s="1">
        <v>48025.16</v>
      </c>
      <c r="P408" s="1">
        <f t="shared" si="6"/>
        <v>176486.27</v>
      </c>
    </row>
    <row r="409" spans="1:16" x14ac:dyDescent="0.25">
      <c r="A409" t="s">
        <v>11</v>
      </c>
      <c r="B409" t="s">
        <v>269</v>
      </c>
      <c r="C409" t="s">
        <v>28</v>
      </c>
      <c r="D409" t="s">
        <v>14</v>
      </c>
      <c r="E409" t="s">
        <v>15</v>
      </c>
      <c r="F409" s="1">
        <v>215460</v>
      </c>
      <c r="H409" s="1">
        <v>219178</v>
      </c>
      <c r="J409" s="1">
        <v>233452</v>
      </c>
      <c r="L409" s="1">
        <v>252049</v>
      </c>
      <c r="N409" s="1">
        <v>221818</v>
      </c>
      <c r="P409" s="1">
        <f t="shared" si="6"/>
        <v>1141957</v>
      </c>
    </row>
    <row r="410" spans="1:16" x14ac:dyDescent="0.25">
      <c r="A410" t="s">
        <v>11</v>
      </c>
      <c r="B410" t="s">
        <v>270</v>
      </c>
      <c r="C410" t="s">
        <v>25</v>
      </c>
      <c r="D410" t="s">
        <v>14</v>
      </c>
      <c r="E410" t="s">
        <v>15</v>
      </c>
      <c r="F410" s="1">
        <v>32774.120000000003</v>
      </c>
      <c r="H410" s="1">
        <v>39644.04</v>
      </c>
      <c r="J410" s="1">
        <v>28775.48</v>
      </c>
      <c r="L410" s="1">
        <v>31680.720000000001</v>
      </c>
      <c r="N410" s="1">
        <v>33103.71</v>
      </c>
      <c r="P410" s="1">
        <f t="shared" si="6"/>
        <v>165978.06999999998</v>
      </c>
    </row>
    <row r="411" spans="1:16" x14ac:dyDescent="0.25">
      <c r="A411" t="s">
        <v>11</v>
      </c>
      <c r="B411" t="s">
        <v>270</v>
      </c>
      <c r="C411" t="s">
        <v>28</v>
      </c>
      <c r="D411" t="s">
        <v>14</v>
      </c>
      <c r="E411" t="s">
        <v>15</v>
      </c>
      <c r="F411" s="1">
        <v>47621.94</v>
      </c>
      <c r="H411" s="1">
        <v>98913.01</v>
      </c>
      <c r="J411" s="1">
        <v>91662.3</v>
      </c>
      <c r="L411" s="1">
        <v>103775.73</v>
      </c>
      <c r="N411" s="1">
        <v>105595.19</v>
      </c>
      <c r="P411" s="1">
        <f t="shared" si="6"/>
        <v>447568.17</v>
      </c>
    </row>
    <row r="412" spans="1:16" x14ac:dyDescent="0.25">
      <c r="A412" t="s">
        <v>11</v>
      </c>
      <c r="B412" t="s">
        <v>271</v>
      </c>
      <c r="C412" t="s">
        <v>25</v>
      </c>
      <c r="D412" t="s">
        <v>14</v>
      </c>
      <c r="E412" t="s">
        <v>15</v>
      </c>
      <c r="F412" s="1">
        <v>0</v>
      </c>
      <c r="G412" t="s">
        <v>19</v>
      </c>
      <c r="H412" s="1">
        <v>106.86</v>
      </c>
      <c r="J412" s="1">
        <v>135.47999999999999</v>
      </c>
      <c r="L412" s="1">
        <v>260.77999999999997</v>
      </c>
      <c r="N412" s="1">
        <v>225.87</v>
      </c>
      <c r="P412" s="1">
        <f t="shared" si="6"/>
        <v>728.99</v>
      </c>
    </row>
    <row r="413" spans="1:16" x14ac:dyDescent="0.25">
      <c r="A413" t="s">
        <v>11</v>
      </c>
      <c r="B413" t="s">
        <v>271</v>
      </c>
      <c r="C413" t="s">
        <v>28</v>
      </c>
      <c r="D413" t="s">
        <v>14</v>
      </c>
      <c r="E413" t="s">
        <v>15</v>
      </c>
      <c r="F413" s="1">
        <v>0</v>
      </c>
      <c r="G413" t="s">
        <v>19</v>
      </c>
      <c r="H413" s="1">
        <v>0</v>
      </c>
      <c r="I413" t="s">
        <v>19</v>
      </c>
      <c r="J413" s="1">
        <v>180.37</v>
      </c>
      <c r="L413" s="1">
        <v>67.11</v>
      </c>
      <c r="N413" s="1">
        <v>0</v>
      </c>
      <c r="O413" t="s">
        <v>19</v>
      </c>
      <c r="P413" s="1">
        <f t="shared" si="6"/>
        <v>247.48000000000002</v>
      </c>
    </row>
    <row r="414" spans="1:16" x14ac:dyDescent="0.25">
      <c r="A414" t="s">
        <v>272</v>
      </c>
      <c r="F414" s="1">
        <v>7361120.9199999999</v>
      </c>
      <c r="H414" s="1">
        <v>7335060.4699999997</v>
      </c>
      <c r="J414" s="1">
        <v>6989080.1600000001</v>
      </c>
      <c r="L414" s="1">
        <v>7224500.5899999999</v>
      </c>
      <c r="N414" s="1">
        <v>7398555.4100000001</v>
      </c>
      <c r="P414" s="1">
        <f t="shared" si="6"/>
        <v>36308317.549999997</v>
      </c>
    </row>
    <row r="415" spans="1:16" x14ac:dyDescent="0.25">
      <c r="A415" t="s">
        <v>273</v>
      </c>
      <c r="F415" s="1">
        <v>7722</v>
      </c>
      <c r="H415" s="1">
        <v>6739</v>
      </c>
      <c r="J415" s="1">
        <v>2721</v>
      </c>
      <c r="L415" s="1">
        <v>3501</v>
      </c>
      <c r="N415" s="1">
        <v>2705</v>
      </c>
      <c r="P415" s="1">
        <f t="shared" si="6"/>
        <v>23388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4860-0332-4EF4-8E3F-7ABD8D889555}">
  <dimension ref="A1:B241"/>
  <sheetViews>
    <sheetView workbookViewId="0">
      <selection activeCell="A4" sqref="A4"/>
    </sheetView>
  </sheetViews>
  <sheetFormatPr defaultRowHeight="15" x14ac:dyDescent="0.25"/>
  <cols>
    <col min="1" max="1" width="30.7109375" bestFit="1" customWidth="1"/>
    <col min="2" max="2" width="18.7109375" bestFit="1" customWidth="1"/>
    <col min="4" max="4" width="9.140625" customWidth="1"/>
  </cols>
  <sheetData>
    <row r="1" spans="1:2" x14ac:dyDescent="0.25">
      <c r="A1" t="s">
        <v>283</v>
      </c>
      <c r="B1" t="s">
        <v>288</v>
      </c>
    </row>
    <row r="2" spans="1:2" x14ac:dyDescent="0.25">
      <c r="A2" t="str" cm="1">
        <f t="array" ref="A2:A241">_xlfn.UNIQUE(Data!B2:B413)</f>
        <v>Barbonymus balleroides</v>
      </c>
      <c r="B2">
        <f>SUMIF(Data!B2:B413,'Analysis RAW'!A2,Data!P2:P415)</f>
        <v>4355.63</v>
      </c>
    </row>
    <row r="3" spans="1:2" x14ac:dyDescent="0.25">
      <c r="A3" t="str">
        <v>Thynnichthys vaillanti</v>
      </c>
      <c r="B3">
        <f>SUMIF(Data!B3:B414,'Analysis RAW'!A3,Data!P3:P416)</f>
        <v>13530.94</v>
      </c>
    </row>
    <row r="4" spans="1:2" x14ac:dyDescent="0.25">
      <c r="A4" t="str">
        <v>Puntioplites waandersi</v>
      </c>
      <c r="B4">
        <f>SUMIF(Data!B4:B415,'Analysis RAW'!A4,Data!P4:P417)</f>
        <v>2694.6499999999996</v>
      </c>
    </row>
    <row r="5" spans="1:2" x14ac:dyDescent="0.25">
      <c r="A5" t="str">
        <v>Mystus spp</v>
      </c>
      <c r="B5">
        <f>SUMIF(Data!B5:B416,'Analysis RAW'!A5,Data!P5:P418)</f>
        <v>49599.05</v>
      </c>
    </row>
    <row r="6" spans="1:2" x14ac:dyDescent="0.25">
      <c r="A6" t="str">
        <v>Cyclocheilichthys armatus</v>
      </c>
      <c r="B6">
        <f>SUMIF(Data!B6:B417,'Analysis RAW'!A6,Data!P6:P419)</f>
        <v>4.8899999999999997</v>
      </c>
    </row>
    <row r="7" spans="1:2" x14ac:dyDescent="0.25">
      <c r="A7" t="str">
        <v>Pangasius djambal</v>
      </c>
      <c r="B7">
        <f>SUMIF(Data!B7:B418,'Analysis RAW'!A7,Data!P7:P420)</f>
        <v>56190.110000000008</v>
      </c>
    </row>
    <row r="8" spans="1:2" x14ac:dyDescent="0.25">
      <c r="A8" t="str">
        <v>Mystus nigriceps</v>
      </c>
      <c r="B8">
        <f>SUMIF(Data!B8:B419,'Analysis RAW'!A8,Data!P8:P421)</f>
        <v>32594.38</v>
      </c>
    </row>
    <row r="9" spans="1:2" x14ac:dyDescent="0.25">
      <c r="A9" t="str">
        <v>Mystacoleucus padangensis</v>
      </c>
      <c r="B9">
        <f>SUMIF(Data!B9:B420,'Analysis RAW'!A9,Data!P9:P422)</f>
        <v>4806.74</v>
      </c>
    </row>
    <row r="10" spans="1:2" x14ac:dyDescent="0.25">
      <c r="A10" t="str">
        <v>Gymnothorax spp</v>
      </c>
      <c r="B10">
        <f>SUMIF(Data!B10:B421,'Analysis RAW'!A10,Data!P10:P423)</f>
        <v>865.23</v>
      </c>
    </row>
    <row r="11" spans="1:2" x14ac:dyDescent="0.25">
      <c r="A11" t="str">
        <v>Lethrinus spp</v>
      </c>
      <c r="B11">
        <f>SUMIF(Data!B11:B422,'Analysis RAW'!A11,Data!P11:P424)</f>
        <v>199422.68</v>
      </c>
    </row>
    <row r="12" spans="1:2" x14ac:dyDescent="0.25">
      <c r="A12" t="str">
        <v>Muraenesocidae</v>
      </c>
      <c r="B12">
        <f>SUMIF(Data!B12:B423,'Analysis RAW'!A12,Data!P12:P425)</f>
        <v>68208.639999999999</v>
      </c>
    </row>
    <row r="13" spans="1:2" x14ac:dyDescent="0.25">
      <c r="A13" t="str">
        <v>Albacore</v>
      </c>
      <c r="B13">
        <f>SUMIF(Data!B13:B424,'Analysis RAW'!A13,Data!P13:P426)</f>
        <v>45318.130000000005</v>
      </c>
    </row>
    <row r="14" spans="1:2" x14ac:dyDescent="0.25">
      <c r="A14" t="str">
        <v>Anchovies, etc. nei</v>
      </c>
      <c r="B14">
        <f>SUMIF(Data!B14:B425,'Analysis RAW'!A14,Data!P14:P427)</f>
        <v>589436.6</v>
      </c>
    </row>
    <row r="15" spans="1:2" x14ac:dyDescent="0.25">
      <c r="A15" t="str">
        <v>Aquatic invertebrates nei</v>
      </c>
      <c r="B15">
        <f>SUMIF(Data!B15:B426,'Analysis RAW'!A15,Data!P15:P428)</f>
        <v>195850</v>
      </c>
    </row>
    <row r="16" spans="1:2" x14ac:dyDescent="0.25">
      <c r="A16" t="str">
        <v>Asian redtail catfish</v>
      </c>
      <c r="B16">
        <f>SUMIF(Data!B16:B427,'Analysis RAW'!A16,Data!P16:P429)</f>
        <v>128358.18</v>
      </c>
    </row>
    <row r="17" spans="1:2" x14ac:dyDescent="0.25">
      <c r="A17" t="str">
        <v>Asian swamp eel</v>
      </c>
      <c r="B17">
        <f>SUMIF(Data!B17:B428,'Analysis RAW'!A17,Data!P17:P430)</f>
        <v>14740.630000000001</v>
      </c>
    </row>
    <row r="18" spans="1:2" x14ac:dyDescent="0.25">
      <c r="A18" t="str">
        <v>Bald glassy</v>
      </c>
      <c r="B18">
        <f>SUMIF(Data!B18:B429,'Analysis RAW'!A18,Data!P18:P431)</f>
        <v>2169.84</v>
      </c>
    </row>
    <row r="19" spans="1:2" x14ac:dyDescent="0.25">
      <c r="A19" t="str">
        <v>Bali sardinella</v>
      </c>
      <c r="B19">
        <f>SUMIF(Data!B19:B430,'Analysis RAW'!A19,Data!P19:P432)</f>
        <v>284492.69</v>
      </c>
    </row>
    <row r="20" spans="1:2" x14ac:dyDescent="0.25">
      <c r="A20" t="str">
        <v>Banana prawn</v>
      </c>
      <c r="B20">
        <f>SUMIF(Data!B20:B431,'Analysis RAW'!A20,Data!P20:P433)</f>
        <v>182829.89</v>
      </c>
    </row>
    <row r="21" spans="1:2" x14ac:dyDescent="0.25">
      <c r="A21" t="str">
        <v>Banded archerfish</v>
      </c>
      <c r="B21">
        <f>SUMIF(Data!B21:B432,'Analysis RAW'!A21,Data!P21:P434)</f>
        <v>37.590000000000003</v>
      </c>
    </row>
    <row r="22" spans="1:2" x14ac:dyDescent="0.25">
      <c r="A22" t="str">
        <v>Barracudas nei</v>
      </c>
      <c r="B22">
        <f>SUMIF(Data!B22:B433,'Analysis RAW'!A22,Data!P22:P435)</f>
        <v>144297.40999999997</v>
      </c>
    </row>
    <row r="23" spans="1:2" x14ac:dyDescent="0.25">
      <c r="A23" t="str">
        <v>Barracudinas, etc. nei</v>
      </c>
      <c r="B23">
        <f>SUMIF(Data!B23:B434,'Analysis RAW'!A23,Data!P23:P436)</f>
        <v>44716.850000000006</v>
      </c>
    </row>
    <row r="24" spans="1:2" x14ac:dyDescent="0.25">
      <c r="A24" t="str">
        <v>Barramundi(=Giant seaperch)</v>
      </c>
      <c r="B24">
        <f>SUMIF(Data!B24:B435,'Analysis RAW'!A24,Data!P24:P437)</f>
        <v>193846.64</v>
      </c>
    </row>
    <row r="25" spans="1:2" x14ac:dyDescent="0.25">
      <c r="A25" t="str">
        <v>Beardless barb</v>
      </c>
      <c r="B25">
        <f>SUMIF(Data!B25:B436,'Analysis RAW'!A25,Data!P25:P438)</f>
        <v>2832.84</v>
      </c>
    </row>
    <row r="26" spans="1:2" x14ac:dyDescent="0.25">
      <c r="A26" t="str">
        <v>Bichique</v>
      </c>
      <c r="B26">
        <f>SUMIF(Data!B26:B437,'Analysis RAW'!A26,Data!P26:P439)</f>
        <v>14885.900000000001</v>
      </c>
    </row>
    <row r="27" spans="1:2" x14ac:dyDescent="0.25">
      <c r="A27" t="str">
        <v>Bigeye scad</v>
      </c>
      <c r="B27">
        <f>SUMIF(Data!B27:B438,'Analysis RAW'!A27,Data!P27:P440)</f>
        <v>258303.6</v>
      </c>
    </row>
    <row r="28" spans="1:2" x14ac:dyDescent="0.25">
      <c r="A28" t="str">
        <v>Bigeye tuna</v>
      </c>
      <c r="B28">
        <f>SUMIF(Data!B28:B439,'Analysis RAW'!A28,Data!P28:P441)</f>
        <v>227682.81</v>
      </c>
    </row>
    <row r="29" spans="1:2" x14ac:dyDescent="0.25">
      <c r="A29" t="str">
        <v>Bigeyes nei</v>
      </c>
      <c r="B29">
        <f>SUMIF(Data!B29:B440,'Analysis RAW'!A29,Data!P29:P442)</f>
        <v>168045.63999999998</v>
      </c>
    </row>
    <row r="30" spans="1:2" x14ac:dyDescent="0.25">
      <c r="A30" t="str">
        <v>Black marlin</v>
      </c>
      <c r="B30">
        <f>SUMIF(Data!B30:B441,'Analysis RAW'!A30,Data!P30:P443)</f>
        <v>27130.269999999997</v>
      </c>
    </row>
    <row r="31" spans="1:2" x14ac:dyDescent="0.25">
      <c r="A31" t="str">
        <v>Black pomfret</v>
      </c>
      <c r="B31">
        <f>SUMIF(Data!B31:B442,'Analysis RAW'!A31,Data!P31:P444)</f>
        <v>356835.93000000005</v>
      </c>
    </row>
    <row r="32" spans="1:2" x14ac:dyDescent="0.25">
      <c r="A32" t="str">
        <v>Blood cockle</v>
      </c>
      <c r="B32">
        <f>SUMIF(Data!B32:B443,'Analysis RAW'!A32,Data!P32:P445)</f>
        <v>436929.57999999996</v>
      </c>
    </row>
    <row r="33" spans="1:2" x14ac:dyDescent="0.25">
      <c r="A33" t="str">
        <v>Blue mackerel</v>
      </c>
      <c r="B33">
        <f>SUMIF(Data!B33:B444,'Analysis RAW'!A33,Data!P33:P446)</f>
        <v>10225.890000000001</v>
      </c>
    </row>
    <row r="34" spans="1:2" x14ac:dyDescent="0.25">
      <c r="A34" t="str">
        <v>Blue marlin</v>
      </c>
      <c r="B34">
        <f>SUMIF(Data!B34:B445,'Analysis RAW'!A34,Data!P34:P447)</f>
        <v>4146.84</v>
      </c>
    </row>
    <row r="35" spans="1:2" x14ac:dyDescent="0.25">
      <c r="A35" t="str">
        <v>Blue shark</v>
      </c>
      <c r="B35">
        <f>SUMIF(Data!B35:B446,'Analysis RAW'!A35,Data!P35:P448)</f>
        <v>85107.3</v>
      </c>
    </row>
    <row r="36" spans="1:2" x14ac:dyDescent="0.25">
      <c r="A36" t="str">
        <v>Blue swimming crab</v>
      </c>
      <c r="B36">
        <f>SUMIF(Data!B36:B447,'Analysis RAW'!A36,Data!P36:P449)</f>
        <v>576846.92999999993</v>
      </c>
    </row>
    <row r="37" spans="1:2" x14ac:dyDescent="0.25">
      <c r="A37" t="str">
        <v>Brown seaweeds</v>
      </c>
      <c r="B37">
        <f>SUMIF(Data!B37:B448,'Analysis RAW'!A37,Data!P37:P450)</f>
        <v>232719.90999999997</v>
      </c>
    </row>
    <row r="38" spans="1:2" x14ac:dyDescent="0.25">
      <c r="A38" t="str">
        <v>Bullet tuna</v>
      </c>
      <c r="B38">
        <f>SUMIF(Data!B38:B449,'Analysis RAW'!A38,Data!P38:P451)</f>
        <v>61241.689999999995</v>
      </c>
    </row>
    <row r="39" spans="1:2" x14ac:dyDescent="0.25">
      <c r="A39" t="str">
        <v>Butter catfish</v>
      </c>
      <c r="B39">
        <f>SUMIF(Data!B39:B450,'Analysis RAW'!A39,Data!P39:P452)</f>
        <v>28201.11</v>
      </c>
    </row>
    <row r="40" spans="1:2" x14ac:dyDescent="0.25">
      <c r="A40" t="str">
        <v>Butterfishes, pomfrets nei</v>
      </c>
      <c r="B40">
        <f>SUMIF(Data!B40:B451,'Analysis RAW'!A40,Data!P40:P453)</f>
        <v>244669.04</v>
      </c>
    </row>
    <row r="41" spans="1:2" x14ac:dyDescent="0.25">
      <c r="A41" t="str">
        <v>Cape fathead</v>
      </c>
      <c r="B41">
        <f>SUMIF(Data!B41:B452,'Analysis RAW'!A41,Data!P41:P454)</f>
        <v>6385.33</v>
      </c>
    </row>
    <row r="42" spans="1:2" x14ac:dyDescent="0.25">
      <c r="A42" t="str">
        <v>Carangids nei</v>
      </c>
      <c r="B42">
        <f>SUMIF(Data!B42:B453,'Analysis RAW'!A42,Data!P42:P455)</f>
        <v>844429.78</v>
      </c>
    </row>
    <row r="43" spans="1:2" x14ac:dyDescent="0.25">
      <c r="A43" t="str">
        <v>Caulerpa seaweeds</v>
      </c>
      <c r="B43">
        <f>SUMIF(Data!B43:B454,'Analysis RAW'!A43,Data!P43:P456)</f>
        <v>8.99</v>
      </c>
    </row>
    <row r="44" spans="1:2" x14ac:dyDescent="0.25">
      <c r="A44" t="str">
        <v>Chacunda gizzard shad</v>
      </c>
      <c r="B44">
        <f>SUMIF(Data!B44:B455,'Analysis RAW'!A44,Data!P44:P457)</f>
        <v>99172.14</v>
      </c>
    </row>
    <row r="45" spans="1:2" x14ac:dyDescent="0.25">
      <c r="A45" t="str">
        <v>Characins nei</v>
      </c>
      <c r="B45">
        <f>SUMIF(Data!B45:B456,'Analysis RAW'!A45,Data!P45:P458)</f>
        <v>2052.08</v>
      </c>
    </row>
    <row r="46" spans="1:2" x14ac:dyDescent="0.25">
      <c r="A46" t="str">
        <v>Chinese softshell turtle</v>
      </c>
      <c r="B46">
        <f>SUMIF(Data!B46:B457,'Analysis RAW'!A46,Data!P46:P459)</f>
        <v>980.76</v>
      </c>
    </row>
    <row r="47" spans="1:2" x14ac:dyDescent="0.25">
      <c r="A47" t="str">
        <v>Chocolate hind</v>
      </c>
      <c r="B47">
        <f>SUMIF(Data!B47:B458,'Analysis RAW'!A47,Data!P47:P460)</f>
        <v>14088.08</v>
      </c>
    </row>
    <row r="48" spans="1:2" x14ac:dyDescent="0.25">
      <c r="A48" t="str">
        <v>Cichlids nei</v>
      </c>
      <c r="B48">
        <f>SUMIF(Data!B48:B459,'Analysis RAW'!A48,Data!P48:P461)</f>
        <v>2593.8500000000004</v>
      </c>
    </row>
    <row r="49" spans="1:2" x14ac:dyDescent="0.25">
      <c r="A49" t="str">
        <v>Clams, etc. nei</v>
      </c>
      <c r="B49">
        <f>SUMIF(Data!B49:B460,'Analysis RAW'!A49,Data!P49:P462)</f>
        <v>5064.04</v>
      </c>
    </row>
    <row r="50" spans="1:2" x14ac:dyDescent="0.25">
      <c r="A50" t="str">
        <v>Climbing perch</v>
      </c>
      <c r="B50">
        <f>SUMIF(Data!B50:B461,'Analysis RAW'!A50,Data!P50:P463)</f>
        <v>155589.39999999997</v>
      </c>
    </row>
    <row r="51" spans="1:2" x14ac:dyDescent="0.25">
      <c r="A51" t="str">
        <v>Clown loach</v>
      </c>
      <c r="B51">
        <f>SUMIF(Data!B51:B462,'Analysis RAW'!A51,Data!P51:P464)</f>
        <v>56.540000000000006</v>
      </c>
    </row>
    <row r="52" spans="1:2" x14ac:dyDescent="0.25">
      <c r="A52" t="str">
        <v>Cobia</v>
      </c>
      <c r="B52">
        <f>SUMIF(Data!B52:B463,'Analysis RAW'!A52,Data!P52:P465)</f>
        <v>9012.35</v>
      </c>
    </row>
    <row r="53" spans="1:2" x14ac:dyDescent="0.25">
      <c r="A53" t="str">
        <v>Common carp</v>
      </c>
      <c r="B53">
        <f>SUMIF(Data!B53:B464,'Analysis RAW'!A53,Data!P53:P466)</f>
        <v>86757.06</v>
      </c>
    </row>
    <row r="54" spans="1:2" x14ac:dyDescent="0.25">
      <c r="A54" t="str">
        <v>Common dolphinfish</v>
      </c>
      <c r="B54">
        <f>SUMIF(Data!B54:B465,'Analysis RAW'!A54,Data!P54:P467)</f>
        <v>90135.52</v>
      </c>
    </row>
    <row r="55" spans="1:2" x14ac:dyDescent="0.25">
      <c r="A55" t="str">
        <v>Common squids nei</v>
      </c>
      <c r="B55">
        <f>SUMIF(Data!B55:B466,'Analysis RAW'!A55,Data!P55:P468)</f>
        <v>999240.23</v>
      </c>
    </row>
    <row r="56" spans="1:2" x14ac:dyDescent="0.25">
      <c r="A56" t="str">
        <v>Croakers, drums nei</v>
      </c>
      <c r="B56">
        <f>SUMIF(Data!B56:B467,'Analysis RAW'!A56,Data!P56:P469)</f>
        <v>194445.59</v>
      </c>
    </row>
    <row r="57" spans="1:2" x14ac:dyDescent="0.25">
      <c r="A57" t="str">
        <v>Cupped oysters nei</v>
      </c>
      <c r="B57">
        <f>SUMIF(Data!B57:B468,'Analysis RAW'!A57,Data!P57:P470)</f>
        <v>5546.2</v>
      </c>
    </row>
    <row r="58" spans="1:2" x14ac:dyDescent="0.25">
      <c r="A58" t="str">
        <v>Cuttlefish, bobtail squids nei</v>
      </c>
      <c r="B58">
        <f>SUMIF(Data!B58:B469,'Analysis RAW'!A58,Data!P58:P471)</f>
        <v>99483.12000000001</v>
      </c>
    </row>
    <row r="59" spans="1:2" x14ac:dyDescent="0.25">
      <c r="A59" t="str">
        <v>Cyprinids nei</v>
      </c>
      <c r="B59">
        <f>SUMIF(Data!B59:B470,'Analysis RAW'!A59,Data!P59:P472)</f>
        <v>48849.919999999998</v>
      </c>
    </row>
    <row r="60" spans="1:2" x14ac:dyDescent="0.25">
      <c r="A60" t="str">
        <v>Dogfish sharks nei</v>
      </c>
      <c r="B60">
        <f>SUMIF(Data!B60:B471,'Analysis RAW'!A60,Data!P60:P473)</f>
        <v>6834.71</v>
      </c>
    </row>
    <row r="61" spans="1:2" x14ac:dyDescent="0.25">
      <c r="A61" t="str">
        <v>Dogtooth tuna</v>
      </c>
      <c r="B61">
        <f>SUMIF(Data!B61:B472,'Analysis RAW'!A61,Data!P61:P474)</f>
        <v>26173.87</v>
      </c>
    </row>
    <row r="62" spans="1:2" x14ac:dyDescent="0.25">
      <c r="A62" t="str">
        <v>Eagle rays nei</v>
      </c>
      <c r="B62">
        <f>SUMIF(Data!B62:B473,'Analysis RAW'!A62,Data!P62:P475)</f>
        <v>52656.81</v>
      </c>
    </row>
    <row r="63" spans="1:2" x14ac:dyDescent="0.25">
      <c r="A63" t="str">
        <v>Eels, morays, congers nei</v>
      </c>
      <c r="B63">
        <f>SUMIF(Data!B63:B474,'Analysis RAW'!A63,Data!P63:P476)</f>
        <v>67.38</v>
      </c>
    </row>
    <row r="64" spans="1:2" x14ac:dyDescent="0.25">
      <c r="A64" t="str">
        <v>Eeltail catfishes</v>
      </c>
      <c r="B64">
        <f>SUMIF(Data!B64:B475,'Analysis RAW'!A64,Data!P64:P477)</f>
        <v>102249.42</v>
      </c>
    </row>
    <row r="65" spans="1:2" x14ac:dyDescent="0.25">
      <c r="A65" t="str">
        <v>Emperors(=Scavengers) nei</v>
      </c>
      <c r="B65">
        <f>SUMIF(Data!B65:B476,'Analysis RAW'!A65,Data!P65:P478)</f>
        <v>110397.58</v>
      </c>
    </row>
    <row r="66" spans="1:2" x14ac:dyDescent="0.25">
      <c r="A66" t="str">
        <v>Erect sea moss</v>
      </c>
      <c r="B66">
        <f>SUMIF(Data!B66:B477,'Analysis RAW'!A66,Data!P66:P479)</f>
        <v>103.8</v>
      </c>
    </row>
    <row r="67" spans="1:2" x14ac:dyDescent="0.25">
      <c r="A67" t="str">
        <v>Estuarine crocodile</v>
      </c>
      <c r="B67">
        <f>SUMIF(Data!B67:B478,'Analysis RAW'!A67,Data!P67:P480)</f>
        <v>20722</v>
      </c>
    </row>
    <row r="68" spans="1:2" x14ac:dyDescent="0.25">
      <c r="A68" t="str">
        <v>False trevally</v>
      </c>
      <c r="B68">
        <f>SUMIF(Data!B68:B479,'Analysis RAW'!A68,Data!P68:P481)</f>
        <v>95.66</v>
      </c>
    </row>
    <row r="69" spans="1:2" x14ac:dyDescent="0.25">
      <c r="A69" t="str">
        <v>Fire eel</v>
      </c>
      <c r="B69">
        <f>SUMIF(Data!B69:B480,'Analysis RAW'!A69,Data!P69:P482)</f>
        <v>1623.7500000000002</v>
      </c>
    </row>
    <row r="70" spans="1:2" x14ac:dyDescent="0.25">
      <c r="A70" t="str">
        <v>Flyingfishes nei</v>
      </c>
      <c r="B70">
        <f>SUMIF(Data!B70:B481,'Analysis RAW'!A70,Data!P70:P483)</f>
        <v>89981.930000000008</v>
      </c>
    </row>
    <row r="71" spans="1:2" x14ac:dyDescent="0.25">
      <c r="A71" t="str">
        <v>Fourfinger threadfin</v>
      </c>
      <c r="B71">
        <f>SUMIF(Data!B71:B482,'Analysis RAW'!A71,Data!P71:P484)</f>
        <v>224925.22999999998</v>
      </c>
    </row>
    <row r="72" spans="1:2" x14ac:dyDescent="0.25">
      <c r="A72" t="str">
        <v>Freshwater crustaceans nei</v>
      </c>
      <c r="B72">
        <f>SUMIF(Data!B72:B483,'Analysis RAW'!A72,Data!P72:P485)</f>
        <v>21753.27</v>
      </c>
    </row>
    <row r="73" spans="1:2" x14ac:dyDescent="0.25">
      <c r="A73" t="str">
        <v>Freshwater fishes nei</v>
      </c>
      <c r="B73">
        <f>SUMIF(Data!B73:B484,'Analysis RAW'!A73,Data!P73:P486)</f>
        <v>139107.06</v>
      </c>
    </row>
    <row r="74" spans="1:2" x14ac:dyDescent="0.25">
      <c r="A74" t="str">
        <v>Freshwater gobies nei</v>
      </c>
      <c r="B74">
        <f>SUMIF(Data!B74:B485,'Analysis RAW'!A74,Data!P74:P487)</f>
        <v>4268.76</v>
      </c>
    </row>
    <row r="75" spans="1:2" x14ac:dyDescent="0.25">
      <c r="A75" t="str">
        <v>Freshwater molluscs nei</v>
      </c>
      <c r="B75">
        <f>SUMIF(Data!B75:B486,'Analysis RAW'!A75,Data!P75:P488)</f>
        <v>6595.59</v>
      </c>
    </row>
    <row r="76" spans="1:2" x14ac:dyDescent="0.25">
      <c r="A76" t="str">
        <v>Freshwater prawns, shrimps nei</v>
      </c>
      <c r="B76">
        <f>SUMIF(Data!B76:B487,'Analysis RAW'!A76,Data!P76:P489)</f>
        <v>30792.83</v>
      </c>
    </row>
    <row r="77" spans="1:2" x14ac:dyDescent="0.25">
      <c r="A77" t="str">
        <v>Frigate tuna</v>
      </c>
      <c r="B77">
        <f>SUMIF(Data!B77:B488,'Analysis RAW'!A77,Data!P77:P490)</f>
        <v>871949.25</v>
      </c>
    </row>
    <row r="78" spans="1:2" x14ac:dyDescent="0.25">
      <c r="A78" t="str">
        <v>Frogs</v>
      </c>
      <c r="B78">
        <f>SUMIF(Data!B78:B489,'Analysis RAW'!A78,Data!P78:P491)</f>
        <v>2304.04</v>
      </c>
    </row>
    <row r="79" spans="1:2" x14ac:dyDescent="0.25">
      <c r="A79" t="str">
        <v>Fusiliers Caesio nei</v>
      </c>
      <c r="B79">
        <f>SUMIF(Data!B79:B490,'Analysis RAW'!A79,Data!P79:P492)</f>
        <v>81854.559999999998</v>
      </c>
    </row>
    <row r="80" spans="1:2" x14ac:dyDescent="0.25">
      <c r="A80" t="str">
        <v>Fusiliers nei</v>
      </c>
      <c r="B80">
        <f>SUMIF(Data!B80:B491,'Analysis RAW'!A80,Data!P80:P493)</f>
        <v>148558.13</v>
      </c>
    </row>
    <row r="81" spans="1:2" x14ac:dyDescent="0.25">
      <c r="A81" t="str">
        <v>Gastropods nei</v>
      </c>
      <c r="B81">
        <f>SUMIF(Data!B81:B492,'Analysis RAW'!A81,Data!P81:P494)</f>
        <v>10792.989999999998</v>
      </c>
    </row>
    <row r="82" spans="1:2" x14ac:dyDescent="0.25">
      <c r="A82" t="str">
        <v>Giant featherback</v>
      </c>
      <c r="B82">
        <f>SUMIF(Data!B82:B493,'Analysis RAW'!A82,Data!P82:P495)</f>
        <v>29452.68</v>
      </c>
    </row>
    <row r="83" spans="1:2" x14ac:dyDescent="0.25">
      <c r="A83" t="str">
        <v>Giant gourami</v>
      </c>
      <c r="B83">
        <f>SUMIF(Data!B83:B494,'Analysis RAW'!A83,Data!P83:P496)</f>
        <v>24154.879999999997</v>
      </c>
    </row>
    <row r="84" spans="1:2" x14ac:dyDescent="0.25">
      <c r="A84" t="str">
        <v>Giant river prawn</v>
      </c>
      <c r="B84">
        <f>SUMIF(Data!B84:B495,'Analysis RAW'!A84,Data!P84:P497)</f>
        <v>79828.52</v>
      </c>
    </row>
    <row r="85" spans="1:2" x14ac:dyDescent="0.25">
      <c r="A85" t="str">
        <v>Giant tiger prawn</v>
      </c>
      <c r="B85">
        <f>SUMIF(Data!B85:B496,'Analysis RAW'!A85,Data!P85:P498)</f>
        <v>96262.849999999991</v>
      </c>
    </row>
    <row r="86" spans="1:2" x14ac:dyDescent="0.25">
      <c r="A86" t="str">
        <v>Glass catfishes</v>
      </c>
      <c r="B86">
        <f>SUMIF(Data!B86:B497,'Analysis RAW'!A86,Data!P86:P499)</f>
        <v>101832.45999999998</v>
      </c>
    </row>
    <row r="87" spans="1:2" x14ac:dyDescent="0.25">
      <c r="A87" t="str">
        <v>Goatfishes</v>
      </c>
      <c r="B87">
        <f>SUMIF(Data!B87:B498,'Analysis RAW'!A87,Data!P87:P500)</f>
        <v>603736.30999999994</v>
      </c>
    </row>
    <row r="88" spans="1:2" x14ac:dyDescent="0.25">
      <c r="A88" t="str">
        <v>Goldstripe sardinella</v>
      </c>
      <c r="B88">
        <f>SUMIF(Data!B88:B499,'Analysis RAW'!A88,Data!P88:P501)</f>
        <v>768268.37</v>
      </c>
    </row>
    <row r="89" spans="1:2" x14ac:dyDescent="0.25">
      <c r="A89" t="str">
        <v>Grass carp(=White amur)</v>
      </c>
      <c r="B89">
        <f>SUMIF(Data!B89:B500,'Analysis RAW'!A89,Data!P89:P502)</f>
        <v>4796.3899999999994</v>
      </c>
    </row>
    <row r="90" spans="1:2" x14ac:dyDescent="0.25">
      <c r="A90" t="str">
        <v>Greasy grouper</v>
      </c>
      <c r="B90">
        <f>SUMIF(Data!B90:B501,'Analysis RAW'!A90,Data!P90:P503)</f>
        <v>24193.130000000005</v>
      </c>
    </row>
    <row r="91" spans="1:2" x14ac:dyDescent="0.25">
      <c r="A91" t="str">
        <v>Great barracuda</v>
      </c>
      <c r="B91">
        <f>SUMIF(Data!B91:B502,'Analysis RAW'!A91,Data!P91:P504)</f>
        <v>28942.14</v>
      </c>
    </row>
    <row r="92" spans="1:2" x14ac:dyDescent="0.25">
      <c r="A92" t="str">
        <v>Greater lizardfish</v>
      </c>
      <c r="B92">
        <f>SUMIF(Data!B92:B503,'Analysis RAW'!A92,Data!P92:P505)</f>
        <v>27593.49</v>
      </c>
    </row>
    <row r="93" spans="1:2" x14ac:dyDescent="0.25">
      <c r="A93" t="str">
        <v>Green mussel</v>
      </c>
      <c r="B93">
        <f>SUMIF(Data!B93:B504,'Analysis RAW'!A93,Data!P93:P506)</f>
        <v>32836.06</v>
      </c>
    </row>
    <row r="94" spans="1:2" x14ac:dyDescent="0.25">
      <c r="A94" t="str">
        <v>Grey large-eye bream</v>
      </c>
      <c r="B94">
        <f>SUMIF(Data!B94:B505,'Analysis RAW'!A94,Data!P94:P507)</f>
        <v>210887.64</v>
      </c>
    </row>
    <row r="95" spans="1:2" x14ac:dyDescent="0.25">
      <c r="A95" t="str">
        <v>Groupers, seabasses nei</v>
      </c>
      <c r="B95">
        <f>SUMIF(Data!B95:B506,'Analysis RAW'!A95,Data!P95:P508)</f>
        <v>780975.85</v>
      </c>
    </row>
    <row r="96" spans="1:2" x14ac:dyDescent="0.25">
      <c r="A96" t="str">
        <v>Grunts, sweetlips nei</v>
      </c>
      <c r="B96">
        <f>SUMIF(Data!B96:B507,'Analysis RAW'!A96,Data!P96:P509)</f>
        <v>84615.26</v>
      </c>
    </row>
    <row r="97" spans="1:2" x14ac:dyDescent="0.25">
      <c r="A97" t="str">
        <v>Gudgeons, sleepers nei</v>
      </c>
      <c r="B97">
        <f>SUMIF(Data!B97:B508,'Analysis RAW'!A97,Data!P97:P510)</f>
        <v>18090.73</v>
      </c>
    </row>
    <row r="98" spans="1:2" x14ac:dyDescent="0.25">
      <c r="A98" t="str">
        <v>Guitarfishes, etc. nei</v>
      </c>
      <c r="B98">
        <f>SUMIF(Data!B98:B509,'Analysis RAW'!A98,Data!P98:P511)</f>
        <v>19165.68</v>
      </c>
    </row>
    <row r="99" spans="1:2" x14ac:dyDescent="0.25">
      <c r="A99" t="str">
        <v>Hairtails, scabbardfishes nei</v>
      </c>
      <c r="B99">
        <f>SUMIF(Data!B99:B510,'Analysis RAW'!A99,Data!P99:P512)</f>
        <v>317587.82999999996</v>
      </c>
    </row>
    <row r="100" spans="1:2" x14ac:dyDescent="0.25">
      <c r="A100" t="str">
        <v>Halfbeaks nei</v>
      </c>
      <c r="B100">
        <f>SUMIF(Data!B100:B511,'Analysis RAW'!A100,Data!P100:P513)</f>
        <v>26394.22</v>
      </c>
    </row>
    <row r="101" spans="1:2" x14ac:dyDescent="0.25">
      <c r="A101" t="str">
        <v>Hamilton's thryssa</v>
      </c>
      <c r="B101">
        <f>SUMIF(Data!B101:B512,'Analysis RAW'!A101,Data!P101:P514)</f>
        <v>36100.810000000005</v>
      </c>
    </row>
    <row r="102" spans="1:2" x14ac:dyDescent="0.25">
      <c r="A102" t="str">
        <v>Hammerhead sharks, etc. nei</v>
      </c>
      <c r="B102">
        <f>SUMIF(Data!B102:B513,'Analysis RAW'!A102,Data!P102:P515)</f>
        <v>8254.9699999999993</v>
      </c>
    </row>
    <row r="103" spans="1:2" x14ac:dyDescent="0.25">
      <c r="A103" t="str">
        <v>Hampala barb</v>
      </c>
      <c r="B103">
        <f>SUMIF(Data!B103:B514,'Analysis RAW'!A103,Data!P103:P516)</f>
        <v>11292.14</v>
      </c>
    </row>
    <row r="104" spans="1:2" x14ac:dyDescent="0.25">
      <c r="A104" t="str">
        <v>Hard clams nei</v>
      </c>
      <c r="B104">
        <f>SUMIF(Data!B104:B515,'Analysis RAW'!A104,Data!P104:P517)</f>
        <v>3926.42</v>
      </c>
    </row>
    <row r="105" spans="1:2" x14ac:dyDescent="0.25">
      <c r="A105" t="str">
        <v>Hawaiian ladyfish</v>
      </c>
      <c r="B105">
        <f>SUMIF(Data!B105:B516,'Analysis RAW'!A105,Data!P105:P518)</f>
        <v>5758.64</v>
      </c>
    </row>
    <row r="106" spans="1:2" x14ac:dyDescent="0.25">
      <c r="A106" t="str">
        <v>Hawkfishes nei</v>
      </c>
      <c r="B106">
        <f>SUMIF(Data!B106:B517,'Analysis RAW'!A106,Data!P106:P519)</f>
        <v>915.36</v>
      </c>
    </row>
    <row r="107" spans="1:2" x14ac:dyDescent="0.25">
      <c r="A107" t="str">
        <v>Honeycomb grouper</v>
      </c>
      <c r="B107">
        <f>SUMIF(Data!B107:B518,'Analysis RAW'!A107,Data!P107:P520)</f>
        <v>13323.490000000002</v>
      </c>
    </row>
    <row r="108" spans="1:2" x14ac:dyDescent="0.25">
      <c r="A108" t="str">
        <v>Hoven's carp</v>
      </c>
      <c r="B108">
        <f>SUMIF(Data!B108:B519,'Analysis RAW'!A108,Data!P108:P521)</f>
        <v>39271.829999999994</v>
      </c>
    </row>
    <row r="109" spans="1:2" x14ac:dyDescent="0.25">
      <c r="A109" t="str">
        <v>Humpback grouper</v>
      </c>
      <c r="B109">
        <f>SUMIF(Data!B109:B520,'Analysis RAW'!A109,Data!P109:P522)</f>
        <v>37788.75</v>
      </c>
    </row>
    <row r="110" spans="1:2" x14ac:dyDescent="0.25">
      <c r="A110" t="str">
        <v>Humphead wrasse</v>
      </c>
      <c r="B110">
        <f>SUMIF(Data!B110:B521,'Analysis RAW'!A110,Data!P110:P523)</f>
        <v>20063.64</v>
      </c>
    </row>
    <row r="111" spans="1:2" x14ac:dyDescent="0.25">
      <c r="A111" t="str">
        <v>Indian halibut</v>
      </c>
      <c r="B111">
        <f>SUMIF(Data!B111:B522,'Analysis RAW'!A111,Data!P111:P524)</f>
        <v>74194.959999999992</v>
      </c>
    </row>
    <row r="112" spans="1:2" x14ac:dyDescent="0.25">
      <c r="A112" t="str">
        <v>Indian mackerel</v>
      </c>
      <c r="B112">
        <f>SUMIF(Data!B112:B523,'Analysis RAW'!A112,Data!P112:P525)</f>
        <v>386673.99</v>
      </c>
    </row>
    <row r="113" spans="1:2" x14ac:dyDescent="0.25">
      <c r="A113" t="str">
        <v>Indian mackerels nei</v>
      </c>
      <c r="B113">
        <f>SUMIF(Data!B113:B524,'Analysis RAW'!A113,Data!P113:P526)</f>
        <v>1099882.18</v>
      </c>
    </row>
    <row r="114" spans="1:2" x14ac:dyDescent="0.25">
      <c r="A114" t="str">
        <v>Indo-Pacific king mackerel</v>
      </c>
      <c r="B114">
        <f>SUMIF(Data!B114:B525,'Analysis RAW'!A114,Data!P114:P527)</f>
        <v>187622.78</v>
      </c>
    </row>
    <row r="115" spans="1:2" x14ac:dyDescent="0.25">
      <c r="A115" t="str">
        <v>Indo-Pacific sailfish</v>
      </c>
      <c r="B115">
        <f>SUMIF(Data!B115:B526,'Analysis RAW'!A115,Data!P115:P528)</f>
        <v>6929.8899999999994</v>
      </c>
    </row>
    <row r="116" spans="1:2" x14ac:dyDescent="0.25">
      <c r="A116" t="str">
        <v>Indo-Pacific swamp crab</v>
      </c>
      <c r="B116">
        <f>SUMIF(Data!B116:B527,'Analysis RAW'!A116,Data!P116:P529)</f>
        <v>75369.53</v>
      </c>
    </row>
    <row r="117" spans="1:2" x14ac:dyDescent="0.25">
      <c r="A117" t="str">
        <v>Indonesian snakehead</v>
      </c>
      <c r="B117">
        <f>SUMIF(Data!B117:B528,'Analysis RAW'!A117,Data!P117:P530)</f>
        <v>88325.810000000012</v>
      </c>
    </row>
    <row r="118" spans="1:2" x14ac:dyDescent="0.25">
      <c r="A118" t="str">
        <v>Jacks, crevalles nei</v>
      </c>
      <c r="B118">
        <f>SUMIF(Data!B118:B529,'Analysis RAW'!A118,Data!P118:P531)</f>
        <v>301432.64</v>
      </c>
    </row>
    <row r="119" spans="1:2" x14ac:dyDescent="0.25">
      <c r="A119" t="str">
        <v>Jellyfishes nei</v>
      </c>
      <c r="B119">
        <f>SUMIF(Data!B119:B530,'Analysis RAW'!A119,Data!P119:P532)</f>
        <v>57957.34</v>
      </c>
    </row>
    <row r="120" spans="1:2" x14ac:dyDescent="0.25">
      <c r="A120" t="str">
        <v>Jobfishes nei</v>
      </c>
      <c r="B120">
        <f>SUMIF(Data!B120:B531,'Analysis RAW'!A120,Data!P120:P533)</f>
        <v>25413.149999999998</v>
      </c>
    </row>
    <row r="121" spans="1:2" x14ac:dyDescent="0.25">
      <c r="A121" t="str">
        <v>Kawakawa</v>
      </c>
      <c r="B121">
        <f>SUMIF(Data!B121:B532,'Analysis RAW'!A121,Data!P121:P534)</f>
        <v>728515.34000000008</v>
      </c>
    </row>
    <row r="122" spans="1:2" x14ac:dyDescent="0.25">
      <c r="A122" t="str">
        <v>Kissing gourami</v>
      </c>
      <c r="B122">
        <f>SUMIF(Data!B122:B533,'Analysis RAW'!A122,Data!P122:P535)</f>
        <v>80064.149999999994</v>
      </c>
    </row>
    <row r="123" spans="1:2" x14ac:dyDescent="0.25">
      <c r="A123" t="str">
        <v>Knifefishes</v>
      </c>
      <c r="B123">
        <f>SUMIF(Data!B123:B534,'Analysis RAW'!A123,Data!P123:P536)</f>
        <v>33.33</v>
      </c>
    </row>
    <row r="124" spans="1:2" x14ac:dyDescent="0.25">
      <c r="A124" t="str">
        <v>Lake prawn</v>
      </c>
      <c r="B124">
        <f>SUMIF(Data!B124:B535,'Analysis RAW'!A124,Data!P124:P537)</f>
        <v>24082.789999999997</v>
      </c>
    </row>
    <row r="125" spans="1:2" x14ac:dyDescent="0.25">
      <c r="A125" t="str">
        <v>Leopard coralgrouper</v>
      </c>
      <c r="B125">
        <f>SUMIF(Data!B125:B536,'Analysis RAW'!A125,Data!P125:P538)</f>
        <v>81132.11</v>
      </c>
    </row>
    <row r="126" spans="1:2" x14ac:dyDescent="0.25">
      <c r="A126" t="str">
        <v>Lizardfishes nei</v>
      </c>
      <c r="B126">
        <f>SUMIF(Data!B126:B537,'Analysis RAW'!A126,Data!P126:P539)</f>
        <v>106922.59</v>
      </c>
    </row>
    <row r="127" spans="1:2" x14ac:dyDescent="0.25">
      <c r="A127" t="str">
        <v>Long pectoral-fin minnow</v>
      </c>
      <c r="B127">
        <f>SUMIF(Data!B127:B538,'Analysis RAW'!A127,Data!P127:P540)</f>
        <v>1165.2099999999998</v>
      </c>
    </row>
    <row r="128" spans="1:2" x14ac:dyDescent="0.25">
      <c r="A128" t="str">
        <v>Longfinned bullseye</v>
      </c>
      <c r="B128">
        <f>SUMIF(Data!B128:B539,'Analysis RAW'!A128,Data!P128:P541)</f>
        <v>1027.25</v>
      </c>
    </row>
    <row r="129" spans="1:2" x14ac:dyDescent="0.25">
      <c r="A129" t="str">
        <v>Longtail tuna</v>
      </c>
      <c r="B129">
        <f>SUMIF(Data!B129:B540,'Analysis RAW'!A129,Data!P129:P542)</f>
        <v>882434.55999999994</v>
      </c>
    </row>
    <row r="130" spans="1:2" x14ac:dyDescent="0.25">
      <c r="A130" t="str">
        <v>Mackerel sharks,porbeagles nei</v>
      </c>
      <c r="B130">
        <f>SUMIF(Data!B130:B541,'Analysis RAW'!A130,Data!P130:P543)</f>
        <v>132.32</v>
      </c>
    </row>
    <row r="131" spans="1:2" x14ac:dyDescent="0.25">
      <c r="A131" t="str">
        <v>Mako sharks</v>
      </c>
      <c r="B131">
        <f>SUMIF(Data!B131:B542,'Analysis RAW'!A131,Data!P131:P544)</f>
        <v>4208.82</v>
      </c>
    </row>
    <row r="132" spans="1:2" x14ac:dyDescent="0.25">
      <c r="A132" t="str">
        <v>Malayan leaffish</v>
      </c>
      <c r="B132">
        <f>SUMIF(Data!B132:B543,'Analysis RAW'!A132,Data!P132:P545)</f>
        <v>2381.1000000000004</v>
      </c>
    </row>
    <row r="133" spans="1:2" x14ac:dyDescent="0.25">
      <c r="A133" t="str">
        <v>Mantas, devil rays nei</v>
      </c>
      <c r="B133">
        <f>SUMIF(Data!B133:B544,'Analysis RAW'!A133,Data!P133:P546)</f>
        <v>2974.4</v>
      </c>
    </row>
    <row r="134" spans="1:2" x14ac:dyDescent="0.25">
      <c r="A134" t="str">
        <v>Marine crabs nei</v>
      </c>
      <c r="B134">
        <f>SUMIF(Data!B134:B545,'Analysis RAW'!A134,Data!P134:P547)</f>
        <v>189961.70000000004</v>
      </c>
    </row>
    <row r="135" spans="1:2" x14ac:dyDescent="0.25">
      <c r="A135" t="str">
        <v>Marine crustaceans nei</v>
      </c>
      <c r="B135">
        <f>SUMIF(Data!B135:B546,'Analysis RAW'!A135,Data!P135:P548)</f>
        <v>17124.099999999999</v>
      </c>
    </row>
    <row r="136" spans="1:2" x14ac:dyDescent="0.25">
      <c r="A136" t="str">
        <v>Marine fishes nei</v>
      </c>
      <c r="B136">
        <f>SUMIF(Data!B136:B547,'Analysis RAW'!A136,Data!P136:P549)</f>
        <v>1993648.16</v>
      </c>
    </row>
    <row r="137" spans="1:2" x14ac:dyDescent="0.25">
      <c r="A137" t="str">
        <v>Marine molluscs nei</v>
      </c>
      <c r="B137">
        <f>SUMIF(Data!B137:B548,'Analysis RAW'!A137,Data!P137:P550)</f>
        <v>29731.340000000004</v>
      </c>
    </row>
    <row r="138" spans="1:2" x14ac:dyDescent="0.25">
      <c r="A138" t="str">
        <v>Marine turtles nei</v>
      </c>
      <c r="B138">
        <f>SUMIF(Data!B138:B549,'Analysis RAW'!A138,Data!P138:P551)</f>
        <v>53.86</v>
      </c>
    </row>
    <row r="139" spans="1:2" x14ac:dyDescent="0.25">
      <c r="A139" t="str">
        <v>Marlins,sailfishes,etc. nei</v>
      </c>
      <c r="B139">
        <f>SUMIF(Data!B139:B550,'Analysis RAW'!A139,Data!P139:P552)</f>
        <v>83.949999999999989</v>
      </c>
    </row>
    <row r="140" spans="1:2" x14ac:dyDescent="0.25">
      <c r="A140" t="str">
        <v>Metapenaeus shrimps nei</v>
      </c>
      <c r="B140">
        <f>SUMIF(Data!B140:B551,'Analysis RAW'!A140,Data!P140:P553)</f>
        <v>466152.9</v>
      </c>
    </row>
    <row r="141" spans="1:2" x14ac:dyDescent="0.25">
      <c r="A141" t="str">
        <v>Milkfish</v>
      </c>
      <c r="B141">
        <f>SUMIF(Data!B141:B552,'Analysis RAW'!A141,Data!P141:P554)</f>
        <v>13002.31</v>
      </c>
    </row>
    <row r="142" spans="1:2" x14ac:dyDescent="0.25">
      <c r="A142" t="str">
        <v>Mojarras, etc. nei</v>
      </c>
      <c r="B142">
        <f>SUMIF(Data!B142:B553,'Analysis RAW'!A142,Data!P142:P555)</f>
        <v>94904.3</v>
      </c>
    </row>
    <row r="143" spans="1:2" x14ac:dyDescent="0.25">
      <c r="A143" t="str">
        <v>Moonfish</v>
      </c>
      <c r="B143">
        <f>SUMIF(Data!B143:B554,'Analysis RAW'!A143,Data!P143:P556)</f>
        <v>3790.4399999999996</v>
      </c>
    </row>
    <row r="144" spans="1:2" x14ac:dyDescent="0.25">
      <c r="A144" t="str">
        <v>Mozambique tilapia</v>
      </c>
      <c r="B144">
        <f>SUMIF(Data!B144:B555,'Analysis RAW'!A144,Data!P144:P557)</f>
        <v>100190.87999999999</v>
      </c>
    </row>
    <row r="145" spans="1:2" x14ac:dyDescent="0.25">
      <c r="A145" t="str">
        <v>Mullets nei</v>
      </c>
      <c r="B145">
        <f>SUMIF(Data!B145:B556,'Analysis RAW'!A145,Data!P145:P558)</f>
        <v>435672.44</v>
      </c>
    </row>
    <row r="146" spans="1:2" x14ac:dyDescent="0.25">
      <c r="A146" t="str">
        <v>Narrow-barred Spanish mackerel</v>
      </c>
      <c r="B146">
        <f>SUMIF(Data!B146:B557,'Analysis RAW'!A146,Data!P146:P559)</f>
        <v>955753.78</v>
      </c>
    </row>
    <row r="147" spans="1:2" x14ac:dyDescent="0.25">
      <c r="A147" t="str">
        <v>Natantian decapods nei</v>
      </c>
      <c r="B147">
        <f>SUMIF(Data!B147:B558,'Analysis RAW'!A147,Data!P147:P560)</f>
        <v>9026.57</v>
      </c>
    </row>
    <row r="148" spans="1:2" x14ac:dyDescent="0.25">
      <c r="A148" t="str">
        <v>Needlefishes nei</v>
      </c>
      <c r="B148">
        <f>SUMIF(Data!B148:B559,'Analysis RAW'!A148,Data!P148:P561)</f>
        <v>78598.2</v>
      </c>
    </row>
    <row r="149" spans="1:2" x14ac:dyDescent="0.25">
      <c r="A149" t="str">
        <v>Needlefishes, etc. nei</v>
      </c>
      <c r="B149">
        <f>SUMIF(Data!B149:B560,'Analysis RAW'!A149,Data!P149:P562)</f>
        <v>114386.16</v>
      </c>
    </row>
    <row r="150" spans="1:2" x14ac:dyDescent="0.25">
      <c r="A150" t="str">
        <v>New Guinea crocodile</v>
      </c>
      <c r="B150">
        <f>SUMIF(Data!B150:B561,'Analysis RAW'!A150,Data!P150:P563)</f>
        <v>2648</v>
      </c>
    </row>
    <row r="151" spans="1:2" x14ac:dyDescent="0.25">
      <c r="A151" t="str">
        <v>Nile tilapia</v>
      </c>
      <c r="B151">
        <f>SUMIF(Data!B151:B562,'Analysis RAW'!A151,Data!P151:P564)</f>
        <v>351905.41000000003</v>
      </c>
    </row>
    <row r="152" spans="1:2" x14ac:dyDescent="0.25">
      <c r="A152" t="str">
        <v>Nilem carp</v>
      </c>
      <c r="B152">
        <f>SUMIF(Data!B152:B563,'Analysis RAW'!A152,Data!P152:P565)</f>
        <v>57936.46</v>
      </c>
    </row>
    <row r="153" spans="1:2" x14ac:dyDescent="0.25">
      <c r="A153" t="str">
        <v>Octopuses, etc. nei</v>
      </c>
      <c r="B153">
        <f>SUMIF(Data!B153:B564,'Analysis RAW'!A153,Data!P153:P566)</f>
        <v>78895.180000000008</v>
      </c>
    </row>
    <row r="154" spans="1:2" x14ac:dyDescent="0.25">
      <c r="A154" t="str">
        <v>Painted sweetlips</v>
      </c>
      <c r="B154">
        <f>SUMIF(Data!B154:B565,'Analysis RAW'!A154,Data!P154:P567)</f>
        <v>46299.59</v>
      </c>
    </row>
    <row r="155" spans="1:2" x14ac:dyDescent="0.25">
      <c r="A155" t="str">
        <v>Pangas catfishes nei</v>
      </c>
      <c r="B155">
        <f>SUMIF(Data!B155:B566,'Analysis RAW'!A155,Data!P155:P568)</f>
        <v>75341.509999999995</v>
      </c>
    </row>
    <row r="156" spans="1:2" x14ac:dyDescent="0.25">
      <c r="A156" t="str">
        <v>Parrotfishes nei</v>
      </c>
      <c r="B156">
        <f>SUMIF(Data!B156:B567,'Analysis RAW'!A156,Data!P156:P569)</f>
        <v>51271.439999999995</v>
      </c>
    </row>
    <row r="157" spans="1:2" x14ac:dyDescent="0.25">
      <c r="A157" t="str">
        <v>Pearl oyster shells nei</v>
      </c>
      <c r="B157">
        <f>SUMIF(Data!B157:B568,'Analysis RAW'!A157,Data!P157:P570)</f>
        <v>5050</v>
      </c>
    </row>
    <row r="158" spans="1:2" x14ac:dyDescent="0.25">
      <c r="A158" t="str">
        <v>Penaeid shrimps nei</v>
      </c>
      <c r="B158">
        <f>SUMIF(Data!B158:B569,'Analysis RAW'!A158,Data!P158:P571)</f>
        <v>219885.94</v>
      </c>
    </row>
    <row r="159" spans="1:2" x14ac:dyDescent="0.25">
      <c r="A159" t="str">
        <v>Pickhandle barracuda</v>
      </c>
      <c r="B159">
        <f>SUMIF(Data!B159:B570,'Analysis RAW'!A159,Data!P159:P572)</f>
        <v>366.14</v>
      </c>
    </row>
    <row r="160" spans="1:2" x14ac:dyDescent="0.25">
      <c r="A160" t="str">
        <v>Pomfrets, ocean breams nei</v>
      </c>
      <c r="B160">
        <f>SUMIF(Data!B160:B571,'Analysis RAW'!A160,Data!P160:P573)</f>
        <v>26619.410000000003</v>
      </c>
    </row>
    <row r="161" spans="1:2" x14ac:dyDescent="0.25">
      <c r="A161" t="str">
        <v>Ponyfishes(=Slipmouths) nei</v>
      </c>
      <c r="B161">
        <f>SUMIF(Data!B161:B572,'Analysis RAW'!A161,Data!P161:P574)</f>
        <v>436059.17999999993</v>
      </c>
    </row>
    <row r="162" spans="1:2" x14ac:dyDescent="0.25">
      <c r="A162" t="str">
        <v>Porgies, seabreams nei</v>
      </c>
      <c r="B162">
        <f>SUMIF(Data!B162:B573,'Analysis RAW'!A162,Data!P162:P575)</f>
        <v>87446.290000000008</v>
      </c>
    </row>
    <row r="163" spans="1:2" x14ac:dyDescent="0.25">
      <c r="A163" t="str">
        <v>Queenfishes</v>
      </c>
      <c r="B163">
        <f>SUMIF(Data!B163:B574,'Analysis RAW'!A163,Data!P163:P576)</f>
        <v>133784.65</v>
      </c>
    </row>
    <row r="164" spans="1:2" x14ac:dyDescent="0.25">
      <c r="A164" t="str">
        <v>Rainbow runner</v>
      </c>
      <c r="B164">
        <f>SUMIF(Data!B164:B575,'Analysis RAW'!A164,Data!P164:P577)</f>
        <v>65109.79</v>
      </c>
    </row>
    <row r="165" spans="1:2" x14ac:dyDescent="0.25">
      <c r="A165" t="str">
        <v>Rainbow sardine</v>
      </c>
      <c r="B165">
        <f>SUMIF(Data!B165:B576,'Analysis RAW'!A165,Data!P165:P578)</f>
        <v>84834.280000000013</v>
      </c>
    </row>
    <row r="166" spans="1:2" x14ac:dyDescent="0.25">
      <c r="A166" t="str">
        <v>Rays, stingrays, mantas nei</v>
      </c>
      <c r="B166">
        <f>SUMIF(Data!B166:B577,'Analysis RAW'!A166,Data!P166:P579)</f>
        <v>95640.55</v>
      </c>
    </row>
    <row r="167" spans="1:2" x14ac:dyDescent="0.25">
      <c r="A167" t="str">
        <v>Red bigeye</v>
      </c>
      <c r="B167">
        <f>SUMIF(Data!B167:B578,'Analysis RAW'!A167,Data!P167:P580)</f>
        <v>2634.01</v>
      </c>
    </row>
    <row r="168" spans="1:2" x14ac:dyDescent="0.25">
      <c r="A168" t="str">
        <v>Red claw crayfish</v>
      </c>
      <c r="B168">
        <f>SUMIF(Data!B168:B579,'Analysis RAW'!A168,Data!P168:P581)</f>
        <v>2743.4700000000003</v>
      </c>
    </row>
    <row r="169" spans="1:2" x14ac:dyDescent="0.25">
      <c r="A169" t="str">
        <v>Red seaweeds</v>
      </c>
      <c r="B169">
        <f>SUMIF(Data!B169:B580,'Analysis RAW'!A169,Data!P169:P582)</f>
        <v>201000</v>
      </c>
    </row>
    <row r="170" spans="1:2" x14ac:dyDescent="0.25">
      <c r="A170" t="str">
        <v>Requiem sharks nei</v>
      </c>
      <c r="B170">
        <f>SUMIF(Data!B170:B581,'Analysis RAW'!A170,Data!P170:P583)</f>
        <v>62008.340000000004</v>
      </c>
    </row>
    <row r="171" spans="1:2" x14ac:dyDescent="0.25">
      <c r="A171" t="str">
        <v>Righteye flounders nei</v>
      </c>
      <c r="B171">
        <f>SUMIF(Data!B171:B582,'Analysis RAW'!A171,Data!P171:P584)</f>
        <v>4019.27</v>
      </c>
    </row>
    <row r="172" spans="1:2" x14ac:dyDescent="0.25">
      <c r="A172" t="str">
        <v>River and lake turtles nei</v>
      </c>
      <c r="B172">
        <f>SUMIF(Data!B172:B583,'Analysis RAW'!A172,Data!P172:P585)</f>
        <v>60</v>
      </c>
    </row>
    <row r="173" spans="1:2" x14ac:dyDescent="0.25">
      <c r="A173" t="str">
        <v>River eels nei</v>
      </c>
      <c r="B173">
        <f>SUMIF(Data!B173:B584,'Analysis RAW'!A173,Data!P173:P586)</f>
        <v>15787.95</v>
      </c>
    </row>
    <row r="174" spans="1:2" x14ac:dyDescent="0.25">
      <c r="A174" t="str">
        <v>River prawns nei</v>
      </c>
      <c r="B174">
        <f>SUMIF(Data!B174:B585,'Analysis RAW'!A174,Data!P174:P587)</f>
        <v>1670.38</v>
      </c>
    </row>
    <row r="175" spans="1:2" x14ac:dyDescent="0.25">
      <c r="A175" t="str">
        <v>Roudi escolar</v>
      </c>
      <c r="B175">
        <f>SUMIF(Data!B175:B586,'Analysis RAW'!A175,Data!P175:P588)</f>
        <v>4782.46</v>
      </c>
    </row>
    <row r="176" spans="1:2" x14ac:dyDescent="0.25">
      <c r="A176" t="str">
        <v>Salps</v>
      </c>
      <c r="B176">
        <f>SUMIF(Data!B176:B587,'Analysis RAW'!A176,Data!P176:P589)</f>
        <v>1977.16</v>
      </c>
    </row>
    <row r="177" spans="1:2" x14ac:dyDescent="0.25">
      <c r="A177" t="str">
        <v>Sardinellas nei</v>
      </c>
      <c r="B177">
        <f>SUMIF(Data!B177:B588,'Analysis RAW'!A177,Data!P177:P590)</f>
        <v>88391.48000000001</v>
      </c>
    </row>
    <row r="178" spans="1:2" x14ac:dyDescent="0.25">
      <c r="A178" t="str">
        <v>Sawfishes</v>
      </c>
      <c r="B178">
        <f>SUMIF(Data!B178:B589,'Analysis RAW'!A178,Data!P178:P591)</f>
        <v>6795.3000000000011</v>
      </c>
    </row>
    <row r="179" spans="1:2" x14ac:dyDescent="0.25">
      <c r="A179" t="str">
        <v>Scads nei</v>
      </c>
      <c r="B179">
        <f>SUMIF(Data!B179:B590,'Analysis RAW'!A179,Data!P179:P592)</f>
        <v>2596480.5599999996</v>
      </c>
    </row>
    <row r="180" spans="1:2" x14ac:dyDescent="0.25">
      <c r="A180" t="str">
        <v>Scallops nei</v>
      </c>
      <c r="B180">
        <f>SUMIF(Data!B180:B591,'Analysis RAW'!A180,Data!P180:P593)</f>
        <v>3332.8900000000003</v>
      </c>
    </row>
    <row r="181" spans="1:2" x14ac:dyDescent="0.25">
      <c r="A181" t="str">
        <v>Sea catfishes nei</v>
      </c>
      <c r="B181">
        <f>SUMIF(Data!B181:B592,'Analysis RAW'!A181,Data!P181:P594)</f>
        <v>516015.28</v>
      </c>
    </row>
    <row r="182" spans="1:2" x14ac:dyDescent="0.25">
      <c r="A182" t="str">
        <v>Sea cucumbers nei</v>
      </c>
      <c r="B182">
        <f>SUMIF(Data!B182:B593,'Analysis RAW'!A182,Data!P182:P595)</f>
        <v>24587.73</v>
      </c>
    </row>
    <row r="183" spans="1:2" x14ac:dyDescent="0.25">
      <c r="A183" t="str">
        <v>Semah mahseer</v>
      </c>
      <c r="B183">
        <f>SUMIF(Data!B183:B594,'Analysis RAW'!A183,Data!P183:P596)</f>
        <v>5811.75</v>
      </c>
    </row>
    <row r="184" spans="1:2" x14ac:dyDescent="0.25">
      <c r="A184" t="str">
        <v>Sergestid shrimps nei</v>
      </c>
      <c r="B184">
        <f>SUMIF(Data!B184:B595,'Analysis RAW'!A184,Data!P184:P597)</f>
        <v>120424.64</v>
      </c>
    </row>
    <row r="185" spans="1:2" x14ac:dyDescent="0.25">
      <c r="A185" t="str">
        <v>Sharks, rays, skates, etc. nei</v>
      </c>
      <c r="B185">
        <f>SUMIF(Data!B185:B596,'Analysis RAW'!A185,Data!P185:P598)</f>
        <v>27082.78</v>
      </c>
    </row>
    <row r="186" spans="1:2" x14ac:dyDescent="0.25">
      <c r="A186" t="str">
        <v>Short mackerel</v>
      </c>
      <c r="B186">
        <f>SUMIF(Data!B186:B597,'Analysis RAW'!A186,Data!P186:P599)</f>
        <v>331330.99</v>
      </c>
    </row>
    <row r="187" spans="1:2" x14ac:dyDescent="0.25">
      <c r="A187" t="str">
        <v>Shortbill spearfish</v>
      </c>
      <c r="B187">
        <f>SUMIF(Data!B187:B598,'Analysis RAW'!A187,Data!P187:P600)</f>
        <v>2828.97</v>
      </c>
    </row>
    <row r="188" spans="1:2" x14ac:dyDescent="0.25">
      <c r="A188" t="str">
        <v>Sicklefishes nei</v>
      </c>
      <c r="B188">
        <f>SUMIF(Data!B188:B599,'Analysis RAW'!A188,Data!P188:P601)</f>
        <v>5150.92</v>
      </c>
    </row>
    <row r="189" spans="1:2" x14ac:dyDescent="0.25">
      <c r="A189" t="str">
        <v>Signal barb</v>
      </c>
      <c r="B189">
        <f>SUMIF(Data!B189:B600,'Analysis RAW'!A189,Data!P189:P602)</f>
        <v>7660.75</v>
      </c>
    </row>
    <row r="190" spans="1:2" x14ac:dyDescent="0.25">
      <c r="A190" t="str">
        <v>Silky shark</v>
      </c>
      <c r="B190">
        <f>SUMIF(Data!B190:B601,'Analysis RAW'!A190,Data!P190:P603)</f>
        <v>108.33999999999999</v>
      </c>
    </row>
    <row r="191" spans="1:2" x14ac:dyDescent="0.25">
      <c r="A191" t="str">
        <v>Silver barb</v>
      </c>
      <c r="B191">
        <f>SUMIF(Data!B191:B602,'Analysis RAW'!A191,Data!P191:P604)</f>
        <v>62036.520000000004</v>
      </c>
    </row>
    <row r="192" spans="1:2" x14ac:dyDescent="0.25">
      <c r="A192" t="str">
        <v>Silver pomfret</v>
      </c>
      <c r="B192">
        <f>SUMIF(Data!B192:B603,'Analysis RAW'!A192,Data!P192:P605)</f>
        <v>62177.24</v>
      </c>
    </row>
    <row r="193" spans="1:2" x14ac:dyDescent="0.25">
      <c r="A193" t="str">
        <v>Silver rasbora</v>
      </c>
      <c r="B193">
        <f>SUMIF(Data!B193:B604,'Analysis RAW'!A193,Data!P193:P606)</f>
        <v>61103.33</v>
      </c>
    </row>
    <row r="194" spans="1:2" x14ac:dyDescent="0.25">
      <c r="A194" t="str">
        <v>Silver sillago</v>
      </c>
      <c r="B194">
        <f>SUMIF(Data!B194:B605,'Analysis RAW'!A194,Data!P194:P607)</f>
        <v>11150.48</v>
      </c>
    </row>
    <row r="195" spans="1:2" x14ac:dyDescent="0.25">
      <c r="A195" t="str">
        <v>Silversides(=Sand smelts) nei</v>
      </c>
      <c r="B195">
        <f>SUMIF(Data!B195:B606,'Analysis RAW'!A195,Data!P195:P608)</f>
        <v>53986.240000000005</v>
      </c>
    </row>
    <row r="196" spans="1:2" x14ac:dyDescent="0.25">
      <c r="A196" t="str">
        <v>Skipjack tuna</v>
      </c>
      <c r="B196">
        <f>SUMIF(Data!B196:B607,'Analysis RAW'!A196,Data!P196:P609)</f>
        <v>1982631.79</v>
      </c>
    </row>
    <row r="197" spans="1:2" x14ac:dyDescent="0.25">
      <c r="A197" t="str">
        <v>Slipper lobsters nei</v>
      </c>
      <c r="B197">
        <f>SUMIF(Data!B197:B608,'Analysis RAW'!A197,Data!P197:P610)</f>
        <v>8897.01</v>
      </c>
    </row>
    <row r="198" spans="1:2" x14ac:dyDescent="0.25">
      <c r="A198" t="str">
        <v>Smallscale archerfish</v>
      </c>
      <c r="B198">
        <f>SUMIF(Data!B198:B609,'Analysis RAW'!A198,Data!P198:P611)</f>
        <v>279.35000000000002</v>
      </c>
    </row>
    <row r="199" spans="1:2" x14ac:dyDescent="0.25">
      <c r="A199" t="str">
        <v>Snake mackerels, escolars nei</v>
      </c>
      <c r="B199">
        <f>SUMIF(Data!B199:B610,'Analysis RAW'!A199,Data!P199:P612)</f>
        <v>2643.93</v>
      </c>
    </row>
    <row r="200" spans="1:2" x14ac:dyDescent="0.25">
      <c r="A200" t="str">
        <v>Snakeskin gourami</v>
      </c>
      <c r="B200">
        <f>SUMIF(Data!B200:B611,'Analysis RAW'!A200,Data!P200:P613)</f>
        <v>71909.91</v>
      </c>
    </row>
    <row r="201" spans="1:2" x14ac:dyDescent="0.25">
      <c r="A201" t="str">
        <v>Snappers nei</v>
      </c>
      <c r="B201">
        <f>SUMIF(Data!B201:B612,'Analysis RAW'!A201,Data!P201:P614)</f>
        <v>914382.35</v>
      </c>
    </row>
    <row r="202" spans="1:2" x14ac:dyDescent="0.25">
      <c r="A202" t="str">
        <v>Snappers, jobfishes nei</v>
      </c>
      <c r="B202">
        <f>SUMIF(Data!B202:B613,'Analysis RAW'!A202,Data!P202:P615)</f>
        <v>568351.95000000007</v>
      </c>
    </row>
    <row r="203" spans="1:2" x14ac:dyDescent="0.25">
      <c r="A203" t="str">
        <v>Southern bluefin tuna</v>
      </c>
      <c r="B203">
        <f>SUMIF(Data!B203:B614,'Analysis RAW'!A203,Data!P203:P616)</f>
        <v>5744.42</v>
      </c>
    </row>
    <row r="204" spans="1:2" x14ac:dyDescent="0.25">
      <c r="A204" t="str">
        <v>Sperm whale</v>
      </c>
      <c r="B204">
        <f>SUMIF(Data!B204:B615,'Analysis RAW'!A204,Data!P204:P617)</f>
        <v>18</v>
      </c>
    </row>
    <row r="205" spans="1:2" x14ac:dyDescent="0.25">
      <c r="A205" t="str">
        <v>Spinefeet(=Rabbitfishes) nei</v>
      </c>
      <c r="B205">
        <f>SUMIF(Data!B205:B616,'Analysis RAW'!A205,Data!P205:P618)</f>
        <v>430449.99</v>
      </c>
    </row>
    <row r="206" spans="1:2" x14ac:dyDescent="0.25">
      <c r="A206" t="str">
        <v>Spotted barb</v>
      </c>
      <c r="B206">
        <f>SUMIF(Data!B206:B617,'Analysis RAW'!A206,Data!P206:P619)</f>
        <v>32894.439999999995</v>
      </c>
    </row>
    <row r="207" spans="1:2" x14ac:dyDescent="0.25">
      <c r="A207" t="str">
        <v>Spotted sardinella</v>
      </c>
      <c r="B207">
        <f>SUMIF(Data!B207:B618,'Analysis RAW'!A207,Data!P207:P620)</f>
        <v>159905.96</v>
      </c>
    </row>
    <row r="208" spans="1:2" x14ac:dyDescent="0.25">
      <c r="A208" t="str">
        <v>Spotted scat</v>
      </c>
      <c r="B208">
        <f>SUMIF(Data!B208:B619,'Analysis RAW'!A208,Data!P208:P621)</f>
        <v>835.23</v>
      </c>
    </row>
    <row r="209" spans="1:2" x14ac:dyDescent="0.25">
      <c r="A209" t="str">
        <v>Squillids nei</v>
      </c>
      <c r="B209">
        <f>SUMIF(Data!B209:B620,'Analysis RAW'!A209,Data!P209:P622)</f>
        <v>36101.410000000003</v>
      </c>
    </row>
    <row r="210" spans="1:2" x14ac:dyDescent="0.25">
      <c r="A210" t="str">
        <v>Stingrays, butterfly rays nei</v>
      </c>
      <c r="B210">
        <f>SUMIF(Data!B210:B621,'Analysis RAW'!A210,Data!P210:P623)</f>
        <v>115812.76999999999</v>
      </c>
    </row>
    <row r="211" spans="1:2" x14ac:dyDescent="0.25">
      <c r="A211" t="str">
        <v>Stolephorus anchovies nei</v>
      </c>
      <c r="B211">
        <f>SUMIF(Data!B211:B622,'Analysis RAW'!A211,Data!P211:P624)</f>
        <v>425493.11</v>
      </c>
    </row>
    <row r="212" spans="1:2" x14ac:dyDescent="0.25">
      <c r="A212" t="str">
        <v>Streaked seerfish</v>
      </c>
      <c r="B212">
        <f>SUMIF(Data!B212:B623,'Analysis RAW'!A212,Data!P212:P625)</f>
        <v>17920.96</v>
      </c>
    </row>
    <row r="213" spans="1:2" x14ac:dyDescent="0.25">
      <c r="A213" t="str">
        <v>Striped bonito</v>
      </c>
      <c r="B213">
        <f>SUMIF(Data!B213:B624,'Analysis RAW'!A213,Data!P213:P626)</f>
        <v>3002.39</v>
      </c>
    </row>
    <row r="214" spans="1:2" x14ac:dyDescent="0.25">
      <c r="A214" t="str">
        <v>Striped marlin</v>
      </c>
      <c r="B214">
        <f>SUMIF(Data!B214:B625,'Analysis RAW'!A214,Data!P214:P627)</f>
        <v>6255.68</v>
      </c>
    </row>
    <row r="215" spans="1:2" x14ac:dyDescent="0.25">
      <c r="A215" t="str">
        <v>Striped snakehead</v>
      </c>
      <c r="B215">
        <f>SUMIF(Data!B215:B626,'Analysis RAW'!A215,Data!P215:P628)</f>
        <v>305799.07</v>
      </c>
    </row>
    <row r="216" spans="1:2" x14ac:dyDescent="0.25">
      <c r="A216" t="str">
        <v>Suckermouth catfish</v>
      </c>
      <c r="B216">
        <f>SUMIF(Data!B216:B627,'Analysis RAW'!A216,Data!P216:P629)</f>
        <v>30.789999999999996</v>
      </c>
    </row>
    <row r="217" spans="1:2" x14ac:dyDescent="0.25">
      <c r="A217" t="str">
        <v>Surgeonfishes nei</v>
      </c>
      <c r="B217">
        <f>SUMIF(Data!B217:B628,'Analysis RAW'!A217,Data!P217:P630)</f>
        <v>36466.82</v>
      </c>
    </row>
    <row r="218" spans="1:2" x14ac:dyDescent="0.25">
      <c r="A218" t="str">
        <v>Sweetlips, rubberlips nei</v>
      </c>
      <c r="B218">
        <f>SUMIF(Data!B218:B629,'Analysis RAW'!A218,Data!P218:P631)</f>
        <v>160851.91999999998</v>
      </c>
    </row>
    <row r="219" spans="1:2" x14ac:dyDescent="0.25">
      <c r="A219" t="str">
        <v>Swordfish</v>
      </c>
      <c r="B219">
        <f>SUMIF(Data!B219:B630,'Analysis RAW'!A219,Data!P219:P632)</f>
        <v>12383.08</v>
      </c>
    </row>
    <row r="220" spans="1:2" x14ac:dyDescent="0.25">
      <c r="A220" t="str">
        <v>Terapon perches nei</v>
      </c>
      <c r="B220">
        <f>SUMIF(Data!B220:B631,'Analysis RAW'!A220,Data!P220:P633)</f>
        <v>13099.37</v>
      </c>
    </row>
    <row r="221" spans="1:2" x14ac:dyDescent="0.25">
      <c r="A221" t="str">
        <v>Threadfin and dwarf breams nei</v>
      </c>
      <c r="B221">
        <f>SUMIF(Data!B221:B632,'Analysis RAW'!A221,Data!P221:P634)</f>
        <v>169428.79</v>
      </c>
    </row>
    <row r="222" spans="1:2" x14ac:dyDescent="0.25">
      <c r="A222" t="str">
        <v>Threadfin breams nei</v>
      </c>
      <c r="B222">
        <f>SUMIF(Data!B222:B633,'Analysis RAW'!A222,Data!P222:P635)</f>
        <v>333037.98000000004</v>
      </c>
    </row>
    <row r="223" spans="1:2" x14ac:dyDescent="0.25">
      <c r="A223" t="str">
        <v>Threadfins, tasselfishes nei</v>
      </c>
      <c r="B223">
        <f>SUMIF(Data!B223:B634,'Analysis RAW'!A223,Data!P223:P636)</f>
        <v>2635.73</v>
      </c>
    </row>
    <row r="224" spans="1:2" x14ac:dyDescent="0.25">
      <c r="A224" t="str">
        <v>Three spot gourami</v>
      </c>
      <c r="B224">
        <f>SUMIF(Data!B224:B635,'Analysis RAW'!A224,Data!P224:P637)</f>
        <v>104592.98999999999</v>
      </c>
    </row>
    <row r="225" spans="1:2" x14ac:dyDescent="0.25">
      <c r="A225" t="str">
        <v>Thresher sharks nei</v>
      </c>
      <c r="B225">
        <f>SUMIF(Data!B225:B636,'Analysis RAW'!A225,Data!P225:P638)</f>
        <v>25906.75</v>
      </c>
    </row>
    <row r="226" spans="1:2" x14ac:dyDescent="0.25">
      <c r="A226" t="str">
        <v>Tigerperches nei</v>
      </c>
      <c r="B226">
        <f>SUMIF(Data!B226:B637,'Analysis RAW'!A226,Data!P226:P639)</f>
        <v>53795.32</v>
      </c>
    </row>
    <row r="227" spans="1:2" x14ac:dyDescent="0.25">
      <c r="A227" t="str">
        <v>Tinfoil barb</v>
      </c>
      <c r="B227">
        <f>SUMIF(Data!B227:B638,'Analysis RAW'!A227,Data!P227:P640)</f>
        <v>26927.780000000002</v>
      </c>
    </row>
    <row r="228" spans="1:2" x14ac:dyDescent="0.25">
      <c r="A228" t="str">
        <v>Toli shad</v>
      </c>
      <c r="B228">
        <f>SUMIF(Data!B228:B639,'Analysis RAW'!A228,Data!P228:P641)</f>
        <v>2502.42</v>
      </c>
    </row>
    <row r="229" spans="1:2" x14ac:dyDescent="0.25">
      <c r="A229" t="str">
        <v>Tonguefishes</v>
      </c>
      <c r="B229">
        <f>SUMIF(Data!B229:B640,'Analysis RAW'!A229,Data!P229:P642)</f>
        <v>37535.9</v>
      </c>
    </row>
    <row r="230" spans="1:2" x14ac:dyDescent="0.25">
      <c r="A230" t="str">
        <v>Torpedo scad</v>
      </c>
      <c r="B230">
        <f>SUMIF(Data!B230:B641,'Analysis RAW'!A230,Data!P230:P643)</f>
        <v>99174.6</v>
      </c>
    </row>
    <row r="231" spans="1:2" x14ac:dyDescent="0.25">
      <c r="A231" t="str">
        <v>Torpedo-shaped catfishes nei</v>
      </c>
      <c r="B231">
        <f>SUMIF(Data!B231:B642,'Analysis RAW'!A231,Data!P231:P644)</f>
        <v>84983.239999999991</v>
      </c>
    </row>
    <row r="232" spans="1:2" x14ac:dyDescent="0.25">
      <c r="A232" t="str">
        <v>Triggerfishes, durgons nei</v>
      </c>
      <c r="B232">
        <f>SUMIF(Data!B232:B643,'Analysis RAW'!A232,Data!P232:P645)</f>
        <v>59991.630000000005</v>
      </c>
    </row>
    <row r="233" spans="1:2" x14ac:dyDescent="0.25">
      <c r="A233" t="str">
        <v>Tripletail</v>
      </c>
      <c r="B233">
        <f>SUMIF(Data!B233:B644,'Analysis RAW'!A233,Data!P233:P646)</f>
        <v>38508.899999999994</v>
      </c>
    </row>
    <row r="234" spans="1:2" x14ac:dyDescent="0.25">
      <c r="A234" t="str">
        <v>Tropical spiny lobsters nei</v>
      </c>
      <c r="B234">
        <f>SUMIF(Data!B234:B645,'Analysis RAW'!A234,Data!P234:P647)</f>
        <v>32944.17</v>
      </c>
    </row>
    <row r="235" spans="1:2" x14ac:dyDescent="0.25">
      <c r="A235" t="str">
        <v>Wahoo</v>
      </c>
      <c r="B235">
        <f>SUMIF(Data!B235:B646,'Analysis RAW'!A235,Data!P235:P648)</f>
        <v>652.08999999999992</v>
      </c>
    </row>
    <row r="236" spans="1:2" x14ac:dyDescent="0.25">
      <c r="A236" t="str">
        <v>Warty gracilaria</v>
      </c>
      <c r="B236">
        <f>SUMIF(Data!B236:B647,'Analysis RAW'!A236,Data!P236:P649)</f>
        <v>2172.11</v>
      </c>
    </row>
    <row r="237" spans="1:2" x14ac:dyDescent="0.25">
      <c r="A237" t="str">
        <v>Wolf-herrings nei</v>
      </c>
      <c r="B237">
        <f>SUMIF(Data!B237:B648,'Analysis RAW'!A237,Data!P237:P650)</f>
        <v>105236.31</v>
      </c>
    </row>
    <row r="238" spans="1:2" x14ac:dyDescent="0.25">
      <c r="A238" t="str">
        <v>Wrasses, hogfishes, etc. nei</v>
      </c>
      <c r="B238">
        <f>SUMIF(Data!B238:B649,'Analysis RAW'!A238,Data!P238:P651)</f>
        <v>15177.960000000001</v>
      </c>
    </row>
    <row r="239" spans="1:2" x14ac:dyDescent="0.25">
      <c r="A239" t="str">
        <v>Yellowfin tuna</v>
      </c>
      <c r="B239">
        <f>SUMIF(Data!B239:B650,'Analysis RAW'!A239,Data!P239:P652)</f>
        <v>1318443.27</v>
      </c>
    </row>
    <row r="240" spans="1:2" x14ac:dyDescent="0.25">
      <c r="A240" t="str">
        <v>Yellowstripe scad</v>
      </c>
      <c r="B240">
        <f>SUMIF(Data!B240:B651,'Analysis RAW'!A240,Data!P240:P653)</f>
        <v>613546.23999999999</v>
      </c>
    </row>
    <row r="241" spans="1:2" x14ac:dyDescent="0.25">
      <c r="A241" t="str">
        <v>Zanzibar weed</v>
      </c>
      <c r="B241">
        <f>SUMIF(Data!B241:B652,'Analysis RAW'!A241,Data!P241:P654)</f>
        <v>976.47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ED72-494F-41D2-B7C4-FE67C892C2EA}">
  <dimension ref="A1:O241"/>
  <sheetViews>
    <sheetView workbookViewId="0">
      <selection activeCell="A13" sqref="A13"/>
    </sheetView>
  </sheetViews>
  <sheetFormatPr defaultRowHeight="15" x14ac:dyDescent="0.25"/>
  <cols>
    <col min="1" max="1" width="30.7109375" bestFit="1" customWidth="1"/>
    <col min="2" max="2" width="20.140625" style="1" bestFit="1" customWidth="1"/>
    <col min="3" max="5" width="18.42578125" bestFit="1" customWidth="1"/>
    <col min="6" max="7" width="23.140625" bestFit="1" customWidth="1"/>
    <col min="9" max="9" width="30.7109375" bestFit="1" customWidth="1"/>
    <col min="10" max="11" width="13.28515625" bestFit="1" customWidth="1"/>
    <col min="12" max="15" width="11.5703125" bestFit="1" customWidth="1"/>
    <col min="16" max="16" width="20.85546875" customWidth="1"/>
  </cols>
  <sheetData>
    <row r="1" spans="1:15" x14ac:dyDescent="0.25">
      <c r="A1" t="s">
        <v>283</v>
      </c>
      <c r="B1" s="1" t="s">
        <v>288</v>
      </c>
      <c r="C1" s="5" t="s">
        <v>306</v>
      </c>
      <c r="D1" s="5" t="s">
        <v>307</v>
      </c>
      <c r="E1" s="5" t="s">
        <v>308</v>
      </c>
      <c r="F1" s="5" t="s">
        <v>328</v>
      </c>
      <c r="G1" s="5" t="s">
        <v>329</v>
      </c>
      <c r="I1" t="s">
        <v>293</v>
      </c>
      <c r="J1" t="s">
        <v>295</v>
      </c>
      <c r="K1" t="s">
        <v>296</v>
      </c>
      <c r="L1" t="s">
        <v>297</v>
      </c>
      <c r="M1" t="s">
        <v>298</v>
      </c>
      <c r="N1" t="s">
        <v>299</v>
      </c>
      <c r="O1" t="s">
        <v>294</v>
      </c>
    </row>
    <row r="2" spans="1:15" x14ac:dyDescent="0.25">
      <c r="A2" t="s">
        <v>206</v>
      </c>
      <c r="B2" s="1">
        <v>2596480.5599999996</v>
      </c>
      <c r="C2" s="9">
        <f>_xlfn.NUMBERVALUE(_xlfn.XLOOKUP(A2,Table8[Species name],Table8[min_price_kg],,0),".")</f>
        <v>0.95</v>
      </c>
      <c r="D2" s="9">
        <f>_xlfn.NUMBERVALUE(_xlfn.XLOOKUP(A2,Table8[Species name],Table8[max_price_kg],,0),".")</f>
        <v>1.6</v>
      </c>
      <c r="E2" s="11">
        <f>_xlfn.NUMBERVALUE(AVERAGE(C2:D2),".")</f>
        <v>1275</v>
      </c>
      <c r="F2" s="8">
        <f>(B2*C2)/1000000</f>
        <v>2.4666565319999996</v>
      </c>
      <c r="G2" s="8">
        <f>(B2*D2)/1000000</f>
        <v>4.1543688959999994</v>
      </c>
      <c r="I2" t="s">
        <v>269</v>
      </c>
      <c r="J2" s="1">
        <f>SUMIFS(Data!F:F,Data!B:B,Analysis!$I5)</f>
        <v>165717.51999999999</v>
      </c>
      <c r="K2" s="1">
        <f>SUMIFS(Data!H:H,Data!B:B,Analysis!$I5)</f>
        <v>116016.82</v>
      </c>
      <c r="L2" s="1">
        <f>SUMIFS(Data!J:J,Data!B:B,Analysis!$I5)</f>
        <v>98505.76999999999</v>
      </c>
      <c r="M2" s="1">
        <f>SUMIFS(Data!L:L,Data!B:B,Analysis!$I5)</f>
        <v>99510.15</v>
      </c>
      <c r="N2" s="1">
        <f>SUMIFS(Data!N:N,Data!B:B,Analysis!$I5)</f>
        <v>97096.67</v>
      </c>
      <c r="O2" s="2">
        <f t="shared" ref="O2:O21" si="0">IFERROR((N2 - J2)/J2, (N2 - K2)/K2)</f>
        <v>-0.4140832544440684</v>
      </c>
    </row>
    <row r="3" spans="1:15" x14ac:dyDescent="0.25">
      <c r="A3" t="s">
        <v>163</v>
      </c>
      <c r="B3" s="1">
        <v>1993648.16</v>
      </c>
      <c r="C3" s="9">
        <f>_xlfn.NUMBERVALUE(_xlfn.XLOOKUP(A3,Table8[Species name],Table8[min_price_kg],,0),".")</f>
        <v>0.5</v>
      </c>
      <c r="D3" s="9">
        <f>_xlfn.NUMBERVALUE(_xlfn.XLOOKUP(A3,Table8[Species name],Table8[max_price_kg],,0),".")</f>
        <v>1.1000000000000001</v>
      </c>
      <c r="E3" s="11">
        <f t="shared" ref="E3:E21" si="1">_xlfn.NUMBERVALUE(AVERAGE(C3:D3),".")</f>
        <v>8</v>
      </c>
      <c r="F3" s="8">
        <f>(B3*C3)/1000000</f>
        <v>0.99682408</v>
      </c>
      <c r="G3" s="8">
        <f t="shared" ref="G3:G21" si="2">(B3*D3)/1000000</f>
        <v>2.1930129760000003</v>
      </c>
      <c r="I3" t="s">
        <v>103</v>
      </c>
      <c r="J3" s="1">
        <f>SUMIFS(Data!F:F,Data!B:B,Analysis!$I11)</f>
        <v>339152.44</v>
      </c>
      <c r="K3" s="1">
        <f>SUMIFS(Data!H:H,Data!B:B,Analysis!$I11)</f>
        <v>120830</v>
      </c>
      <c r="L3" s="1">
        <f>SUMIFS(Data!J:J,Data!B:B,Analysis!$I11)</f>
        <v>131785.18</v>
      </c>
      <c r="M3" s="1">
        <f>SUMIFS(Data!L:L,Data!B:B,Analysis!$I11)</f>
        <v>147263.05000000002</v>
      </c>
      <c r="N3" s="1">
        <f>SUMIFS(Data!N:N,Data!B:B,Analysis!$I11)</f>
        <v>175351.67999999999</v>
      </c>
      <c r="O3" s="2">
        <f t="shared" si="0"/>
        <v>-0.48297090240600954</v>
      </c>
    </row>
    <row r="4" spans="1:15" x14ac:dyDescent="0.25">
      <c r="A4" t="s">
        <v>223</v>
      </c>
      <c r="B4" s="1">
        <v>1982631.79</v>
      </c>
      <c r="C4" s="9">
        <f>_xlfn.NUMBERVALUE(_xlfn.XLOOKUP(A4,Table8[Species name],Table8[min_price_kg],,0),".")</f>
        <v>1.45</v>
      </c>
      <c r="D4" s="9">
        <f>_xlfn.NUMBERVALUE(_xlfn.XLOOKUP(A4,Table8[Species name],Table8[max_price_kg],,0),".")</f>
        <v>1.85</v>
      </c>
      <c r="E4" s="11">
        <f t="shared" si="1"/>
        <v>165</v>
      </c>
      <c r="F4" s="8">
        <f t="shared" ref="F4:F21" si="3">(B4*C4)/1000000</f>
        <v>2.8748160954999999</v>
      </c>
      <c r="G4" s="8">
        <f t="shared" si="2"/>
        <v>3.6678688115000004</v>
      </c>
      <c r="I4" t="s">
        <v>208</v>
      </c>
      <c r="J4" s="1">
        <f>SUMIFS(Data!F:F,Data!B:B,Analysis!$I21)</f>
        <v>0</v>
      </c>
      <c r="K4" s="1">
        <f>SUMIFS(Data!H:H,Data!B:B,Analysis!$I21)</f>
        <v>195741.47000000003</v>
      </c>
      <c r="L4" s="1">
        <f>SUMIFS(Data!J:J,Data!B:B,Analysis!$I21)</f>
        <v>193755.33000000002</v>
      </c>
      <c r="M4" s="1">
        <f>SUMIFS(Data!L:L,Data!B:B,Analysis!$I21)</f>
        <v>199625.99</v>
      </c>
      <c r="N4" s="1">
        <f>SUMIFS(Data!N:N,Data!B:B,Analysis!$I21)</f>
        <v>191853.06</v>
      </c>
      <c r="O4" s="2">
        <f t="shared" si="0"/>
        <v>-1.9865029112124438E-2</v>
      </c>
    </row>
    <row r="5" spans="1:15" x14ac:dyDescent="0.25">
      <c r="A5" t="s">
        <v>269</v>
      </c>
      <c r="B5" s="1">
        <v>1318443.27</v>
      </c>
      <c r="C5" s="9">
        <f>_xlfn.NUMBERVALUE(_xlfn.XLOOKUP(A5,Table8[Species name],Table8[min_price_kg],,0),".")</f>
        <v>2.1</v>
      </c>
      <c r="D5" s="9">
        <f>_xlfn.NUMBERVALUE(_xlfn.XLOOKUP(A5,Table8[Species name],Table8[max_price_kg],,0),".")</f>
        <v>14.5</v>
      </c>
      <c r="E5" s="11">
        <f t="shared" si="1"/>
        <v>83</v>
      </c>
      <c r="F5" s="8">
        <f t="shared" si="3"/>
        <v>2.7687308669999999</v>
      </c>
      <c r="G5" s="8">
        <f t="shared" si="2"/>
        <v>19.117427414999998</v>
      </c>
      <c r="I5" t="s">
        <v>55</v>
      </c>
      <c r="J5" s="1">
        <f>SUMIFS(Data!F:F,Data!B:B,Analysis!$I19)</f>
        <v>80396.06</v>
      </c>
      <c r="K5" s="1">
        <f>SUMIFS(Data!H:H,Data!B:B,Analysis!$I19)</f>
        <v>138557.04999999999</v>
      </c>
      <c r="L5" s="1">
        <f>SUMIFS(Data!J:J,Data!B:B,Analysis!$I19)</f>
        <v>120437.78</v>
      </c>
      <c r="M5" s="1">
        <f>SUMIFS(Data!L:L,Data!B:B,Analysis!$I19)</f>
        <v>135456.45000000001</v>
      </c>
      <c r="N5" s="1">
        <f>SUMIFS(Data!N:N,Data!B:B,Analysis!$I19)</f>
        <v>138698.9</v>
      </c>
      <c r="O5" s="2">
        <f t="shared" si="0"/>
        <v>0.72519523966721755</v>
      </c>
    </row>
    <row r="6" spans="1:15" x14ac:dyDescent="0.25">
      <c r="A6" t="s">
        <v>140</v>
      </c>
      <c r="B6" s="1">
        <v>1099882.18</v>
      </c>
      <c r="C6" s="9">
        <f>_xlfn.NUMBERVALUE(_xlfn.XLOOKUP(A6,Table8[Species name],Table8[min_price_kg],,0),".")</f>
        <v>0.9</v>
      </c>
      <c r="D6" s="9">
        <f>_xlfn.NUMBERVALUE(_xlfn.XLOOKUP(A6,Table8[Species name],Table8[max_price_kg],,0),".")</f>
        <v>1.4</v>
      </c>
      <c r="E6" s="11">
        <f t="shared" si="1"/>
        <v>115</v>
      </c>
      <c r="F6" s="8">
        <f t="shared" si="3"/>
        <v>0.98989396199999991</v>
      </c>
      <c r="G6" s="8">
        <f t="shared" si="2"/>
        <v>1.5398350519999999</v>
      </c>
      <c r="I6" t="s">
        <v>31</v>
      </c>
      <c r="J6" s="1">
        <f>SUMIFS(Data!F:F,Data!B:B,Analysis!$I18)</f>
        <v>218295.12</v>
      </c>
      <c r="K6" s="1">
        <f>SUMIFS(Data!H:H,Data!B:B,Analysis!$I18)</f>
        <v>194299.04</v>
      </c>
      <c r="L6" s="1">
        <f>SUMIFS(Data!J:J,Data!B:B,Analysis!$I18)</f>
        <v>193583.84</v>
      </c>
      <c r="M6" s="1">
        <f>SUMIFS(Data!L:L,Data!B:B,Analysis!$I18)</f>
        <v>204337.72</v>
      </c>
      <c r="N6" s="1">
        <f>SUMIFS(Data!N:N,Data!B:B,Analysis!$I18)</f>
        <v>188724.51</v>
      </c>
      <c r="O6" s="2">
        <f t="shared" si="0"/>
        <v>-0.13546161728214531</v>
      </c>
    </row>
    <row r="7" spans="1:15" x14ac:dyDescent="0.25">
      <c r="A7" t="s">
        <v>77</v>
      </c>
      <c r="B7" s="1">
        <v>999240.23</v>
      </c>
      <c r="C7" s="9">
        <f>_xlfn.NUMBERVALUE(_xlfn.XLOOKUP(A7,Table8[Species name],Table8[min_price_kg],,0),".")</f>
        <v>3.2</v>
      </c>
      <c r="D7" s="9">
        <f>_xlfn.NUMBERVALUE(_xlfn.XLOOKUP(A7,Table8[Species name],Table8[max_price_kg],,0),".")</f>
        <v>5.8</v>
      </c>
      <c r="E7" s="11">
        <f t="shared" si="1"/>
        <v>45</v>
      </c>
      <c r="F7" s="8">
        <f t="shared" si="3"/>
        <v>3.197568736</v>
      </c>
      <c r="G7" s="8">
        <f t="shared" si="2"/>
        <v>5.7955933339999994</v>
      </c>
      <c r="I7" t="s">
        <v>156</v>
      </c>
      <c r="J7" s="1">
        <f>SUMIFS(Data!F:F,Data!B:B,Analysis!$I10)</f>
        <v>370367.38</v>
      </c>
      <c r="K7" s="1">
        <f>SUMIFS(Data!H:H,Data!B:B,Analysis!$I10)</f>
        <v>426847.33999999997</v>
      </c>
      <c r="L7" s="1">
        <f>SUMIFS(Data!J:J,Data!B:B,Analysis!$I10)</f>
        <v>374288.43</v>
      </c>
      <c r="M7" s="1">
        <f>SUMIFS(Data!L:L,Data!B:B,Analysis!$I10)</f>
        <v>404358.07999999996</v>
      </c>
      <c r="N7" s="1">
        <f>SUMIFS(Data!N:N,Data!B:B,Analysis!$I10)</f>
        <v>406770.56</v>
      </c>
      <c r="O7" s="2">
        <f t="shared" si="0"/>
        <v>9.828937958845077E-2</v>
      </c>
    </row>
    <row r="8" spans="1:15" x14ac:dyDescent="0.25">
      <c r="A8" t="s">
        <v>173</v>
      </c>
      <c r="B8" s="1">
        <v>955753.78</v>
      </c>
      <c r="C8" s="9">
        <f>_xlfn.NUMBERVALUE(_xlfn.XLOOKUP(A8,Table8[Species name],Table8[min_price_kg],,0),".")</f>
        <v>3.5</v>
      </c>
      <c r="D8" s="9">
        <f>_xlfn.NUMBERVALUE(_xlfn.XLOOKUP(A8,Table8[Species name],Table8[max_price_kg],,0),".")</f>
        <v>5</v>
      </c>
      <c r="E8" s="11">
        <f t="shared" si="1"/>
        <v>425</v>
      </c>
      <c r="F8" s="8">
        <f t="shared" si="3"/>
        <v>3.3451382299999999</v>
      </c>
      <c r="G8" s="8">
        <f t="shared" si="2"/>
        <v>4.7787689000000002</v>
      </c>
      <c r="I8" t="s">
        <v>113</v>
      </c>
      <c r="J8" s="1">
        <f>SUMIFS(Data!F:F,Data!B:B,Analysis!$I17)</f>
        <v>150950.74</v>
      </c>
      <c r="K8" s="1">
        <f>SUMIFS(Data!H:H,Data!B:B,Analysis!$I17)</f>
        <v>172320.4</v>
      </c>
      <c r="L8" s="1">
        <f>SUMIFS(Data!J:J,Data!B:B,Analysis!$I17)</f>
        <v>191016.24</v>
      </c>
      <c r="M8" s="1">
        <f>SUMIFS(Data!L:L,Data!B:B,Analysis!$I17)</f>
        <v>193441.97</v>
      </c>
      <c r="N8" s="1">
        <f>SUMIFS(Data!N:N,Data!B:B,Analysis!$I17)</f>
        <v>248024.43000000002</v>
      </c>
      <c r="O8" s="2">
        <f t="shared" si="0"/>
        <v>0.64308190870743687</v>
      </c>
    </row>
    <row r="9" spans="1:15" x14ac:dyDescent="0.25">
      <c r="A9" t="s">
        <v>228</v>
      </c>
      <c r="B9" s="1">
        <v>914382.35</v>
      </c>
      <c r="C9" s="9">
        <f>_xlfn.NUMBERVALUE(_xlfn.XLOOKUP(A9,Table8[Species name],Table8[min_price_kg],,0),".")</f>
        <v>5.5</v>
      </c>
      <c r="D9" s="9">
        <f>_xlfn.NUMBERVALUE(_xlfn.XLOOKUP(A9,Table8[Species name],Table8[max_price_kg],,0),".")</f>
        <v>9</v>
      </c>
      <c r="E9" s="11">
        <f t="shared" si="1"/>
        <v>725</v>
      </c>
      <c r="F9" s="8">
        <f t="shared" si="3"/>
        <v>5.0291029250000001</v>
      </c>
      <c r="G9" s="8">
        <f t="shared" si="2"/>
        <v>8.2294411499999995</v>
      </c>
      <c r="I9" t="s">
        <v>229</v>
      </c>
      <c r="J9" s="1">
        <f>SUMIFS(Data!F:F,Data!B:B,Analysis!$I20)</f>
        <v>132296.25</v>
      </c>
      <c r="K9" s="1">
        <f>SUMIFS(Data!H:H,Data!B:B,Analysis!$I20)</f>
        <v>142386.73000000001</v>
      </c>
      <c r="L9" s="1">
        <f>SUMIFS(Data!J:J,Data!B:B,Analysis!$I20)</f>
        <v>152072.16</v>
      </c>
      <c r="M9" s="1">
        <f>SUMIFS(Data!L:L,Data!B:B,Analysis!$I20)</f>
        <v>167355.83000000002</v>
      </c>
      <c r="N9" s="1">
        <f>SUMIFS(Data!N:N,Data!B:B,Analysis!$I20)</f>
        <v>174157.40000000002</v>
      </c>
      <c r="O9" s="2">
        <f t="shared" si="0"/>
        <v>0.31641977758250911</v>
      </c>
    </row>
    <row r="10" spans="1:15" x14ac:dyDescent="0.25">
      <c r="A10" t="s">
        <v>156</v>
      </c>
      <c r="B10" s="1">
        <v>882434.55999999994</v>
      </c>
      <c r="C10" s="9">
        <f>_xlfn.NUMBERVALUE(_xlfn.XLOOKUP(A10,Table8[Species name],Table8[min_price_kg],,0),".")</f>
        <v>1.8</v>
      </c>
      <c r="D10" s="9">
        <f>_xlfn.NUMBERVALUE(_xlfn.XLOOKUP(A10,Table8[Species name],Table8[max_price_kg],,0),".")</f>
        <v>2.6</v>
      </c>
      <c r="E10" s="11">
        <f t="shared" si="1"/>
        <v>22</v>
      </c>
      <c r="F10" s="8">
        <f t="shared" si="3"/>
        <v>1.5883822079999999</v>
      </c>
      <c r="G10" s="8">
        <f t="shared" si="2"/>
        <v>2.2943298560000001</v>
      </c>
      <c r="I10" t="s">
        <v>223</v>
      </c>
      <c r="J10" s="1">
        <f>SUMIFS(Data!F:F,Data!B:B,Analysis!$I4)</f>
        <v>114776.86</v>
      </c>
      <c r="K10" s="1">
        <f>SUMIFS(Data!H:H,Data!B:B,Analysis!$I4)</f>
        <v>100217.62</v>
      </c>
      <c r="L10" s="1">
        <f>SUMIFS(Data!J:J,Data!B:B,Analysis!$I4)</f>
        <v>90470.15</v>
      </c>
      <c r="M10" s="1">
        <f>SUMIFS(Data!L:L,Data!B:B,Analysis!$I4)</f>
        <v>99882.83</v>
      </c>
      <c r="N10" s="1">
        <f>SUMIFS(Data!N:N,Data!B:B,Analysis!$I4)</f>
        <v>110667.82</v>
      </c>
      <c r="O10" s="2">
        <f t="shared" si="0"/>
        <v>-3.5800247541185513E-2</v>
      </c>
    </row>
    <row r="11" spans="1:15" x14ac:dyDescent="0.25">
      <c r="A11" t="s">
        <v>103</v>
      </c>
      <c r="B11" s="1">
        <v>871949.25</v>
      </c>
      <c r="C11" s="9">
        <f>_xlfn.NUMBERVALUE(_xlfn.XLOOKUP(A11,Table8[Species name],Table8[min_price_kg],,0),".")</f>
        <v>1.1000000000000001</v>
      </c>
      <c r="D11" s="9">
        <f>_xlfn.NUMBERVALUE(_xlfn.XLOOKUP(A11,Table8[Species name],Table8[max_price_kg],,0),".")</f>
        <v>1.6</v>
      </c>
      <c r="E11" s="11">
        <f t="shared" si="1"/>
        <v>135</v>
      </c>
      <c r="F11" s="8">
        <f t="shared" si="3"/>
        <v>0.95914417500000004</v>
      </c>
      <c r="G11" s="8">
        <f t="shared" si="2"/>
        <v>1.3951188000000001</v>
      </c>
      <c r="I11" t="s">
        <v>228</v>
      </c>
      <c r="J11" s="1">
        <f>SUMIFS(Data!F:F,Data!B:B,Analysis!$I9)</f>
        <v>0</v>
      </c>
      <c r="K11" s="1">
        <f>SUMIFS(Data!H:H,Data!B:B,Analysis!$I9)</f>
        <v>132550.85</v>
      </c>
      <c r="L11" s="1">
        <f>SUMIFS(Data!J:J,Data!B:B,Analysis!$I9)</f>
        <v>155115.06</v>
      </c>
      <c r="M11" s="1">
        <f>SUMIFS(Data!L:L,Data!B:B,Analysis!$I9)</f>
        <v>148926.72</v>
      </c>
      <c r="N11" s="1">
        <f>SUMIFS(Data!N:N,Data!B:B,Analysis!$I9)</f>
        <v>131759.32</v>
      </c>
      <c r="O11" s="2">
        <f t="shared" si="0"/>
        <v>-5.9715196092669249E-3</v>
      </c>
    </row>
    <row r="12" spans="1:15" x14ac:dyDescent="0.25">
      <c r="A12" t="s">
        <v>62</v>
      </c>
      <c r="B12" s="1">
        <v>844429.78</v>
      </c>
      <c r="C12" s="9">
        <f>_xlfn.NUMBERVALUE(_xlfn.XLOOKUP(A12,Table8[Species name],Table8[min_price_kg],,0),".")</f>
        <v>1</v>
      </c>
      <c r="D12" s="9">
        <f>_xlfn.NUMBERVALUE(_xlfn.XLOOKUP(A12,Table8[Species name],Table8[max_price_kg],,0),".")</f>
        <v>1.8</v>
      </c>
      <c r="E12" s="11">
        <f t="shared" si="1"/>
        <v>14</v>
      </c>
      <c r="F12" s="8">
        <f t="shared" si="3"/>
        <v>0.84442978000000002</v>
      </c>
      <c r="G12" s="8">
        <f t="shared" si="2"/>
        <v>1.519973604</v>
      </c>
      <c r="I12" t="s">
        <v>148</v>
      </c>
      <c r="J12" s="1">
        <f>SUMIFS(Data!F:F,Data!B:B,Analysis!$I15)</f>
        <v>0</v>
      </c>
      <c r="K12" s="1">
        <f>SUMIFS(Data!H:H,Data!B:B,Analysis!$I15)</f>
        <v>262828.53999999998</v>
      </c>
      <c r="L12" s="1">
        <f>SUMIFS(Data!J:J,Data!B:B,Analysis!$I15)</f>
        <v>271138.80000000005</v>
      </c>
      <c r="M12" s="1">
        <f>SUMIFS(Data!L:L,Data!B:B,Analysis!$I15)</f>
        <v>285110.92</v>
      </c>
      <c r="N12" s="1">
        <f>SUMIFS(Data!N:N,Data!B:B,Analysis!$I15)</f>
        <v>280803.92</v>
      </c>
      <c r="O12" s="2">
        <f t="shared" si="0"/>
        <v>6.8392039920778788E-2</v>
      </c>
    </row>
    <row r="13" spans="1:15" x14ac:dyDescent="0.25">
      <c r="A13" t="s">
        <v>121</v>
      </c>
      <c r="B13" s="1">
        <v>780975.85</v>
      </c>
      <c r="C13" s="9">
        <f>_xlfn.NUMBERVALUE(_xlfn.XLOOKUP(A13,Table8[Species name],Table8[min_price_kg],,0),".")</f>
        <v>6</v>
      </c>
      <c r="D13" s="9">
        <f>_xlfn.NUMBERVALUE(_xlfn.XLOOKUP(A13,Table8[Species name],Table8[max_price_kg],,0),".")</f>
        <v>11.5</v>
      </c>
      <c r="E13" s="11">
        <f t="shared" si="1"/>
        <v>875</v>
      </c>
      <c r="F13" s="8">
        <f t="shared" si="3"/>
        <v>4.6858550999999995</v>
      </c>
      <c r="G13" s="8">
        <f t="shared" si="2"/>
        <v>8.9812222750000004</v>
      </c>
      <c r="I13" t="s">
        <v>163</v>
      </c>
      <c r="J13" s="1">
        <f>SUMIFS(Data!F:F,Data!B:B,Analysis!$I3)</f>
        <v>91386.2</v>
      </c>
      <c r="K13" s="1">
        <f>SUMIFS(Data!H:H,Data!B:B,Analysis!$I3)</f>
        <v>183639.4</v>
      </c>
      <c r="L13" s="1">
        <f>SUMIFS(Data!J:J,Data!B:B,Analysis!$I3)</f>
        <v>211135.31</v>
      </c>
      <c r="M13" s="1">
        <f>SUMIFS(Data!L:L,Data!B:B,Analysis!$I3)</f>
        <v>175068.35</v>
      </c>
      <c r="N13" s="1">
        <f>SUMIFS(Data!N:N,Data!B:B,Analysis!$I3)</f>
        <v>210719.99</v>
      </c>
      <c r="O13" s="2">
        <f t="shared" si="0"/>
        <v>1.3058184933830272</v>
      </c>
    </row>
    <row r="14" spans="1:15" x14ac:dyDescent="0.25">
      <c r="A14" t="s">
        <v>114</v>
      </c>
      <c r="B14" s="1">
        <v>768268.37</v>
      </c>
      <c r="C14" s="9">
        <f>_xlfn.NUMBERVALUE(_xlfn.XLOOKUP(A14,Table8[Species name],Table8[min_price_kg],,0),".")</f>
        <v>0.45</v>
      </c>
      <c r="D14" s="9">
        <f>_xlfn.NUMBERVALUE(_xlfn.XLOOKUP(A14,Table8[Species name],Table8[max_price_kg],,0),".")</f>
        <v>0.85</v>
      </c>
      <c r="E14" s="11">
        <f t="shared" si="1"/>
        <v>65</v>
      </c>
      <c r="F14" s="8">
        <f t="shared" si="3"/>
        <v>0.34572076650000005</v>
      </c>
      <c r="G14" s="8">
        <f t="shared" si="2"/>
        <v>0.65302811449999998</v>
      </c>
      <c r="I14" t="s">
        <v>62</v>
      </c>
      <c r="J14" s="1">
        <f>SUMIFS(Data!F:F,Data!B:B,Analysis!$I12)</f>
        <v>147505.09</v>
      </c>
      <c r="K14" s="1">
        <f>SUMIFS(Data!H:H,Data!B:B,Analysis!$I12)</f>
        <v>129952.32000000001</v>
      </c>
      <c r="L14" s="1">
        <f>SUMIFS(Data!J:J,Data!B:B,Analysis!$I12)</f>
        <v>148146.41999999998</v>
      </c>
      <c r="M14" s="1">
        <f>SUMIFS(Data!L:L,Data!B:B,Analysis!$I12)</f>
        <v>146602.57999999999</v>
      </c>
      <c r="N14" s="1">
        <f>SUMIFS(Data!N:N,Data!B:B,Analysis!$I12)</f>
        <v>156308.93</v>
      </c>
      <c r="O14" s="2">
        <f t="shared" si="0"/>
        <v>5.9684991209455869E-2</v>
      </c>
    </row>
    <row r="15" spans="1:15" x14ac:dyDescent="0.25">
      <c r="A15" t="s">
        <v>148</v>
      </c>
      <c r="B15" s="1">
        <v>728515.34000000008</v>
      </c>
      <c r="C15" s="9">
        <f>_xlfn.NUMBERVALUE(_xlfn.XLOOKUP(A15,Table8[Species name],Table8[min_price_kg],,0),".")</f>
        <v>1.2</v>
      </c>
      <c r="D15" s="9">
        <f>_xlfn.NUMBERVALUE(_xlfn.XLOOKUP(A15,Table8[Species name],Table8[max_price_kg],,0),".")</f>
        <v>1.75</v>
      </c>
      <c r="E15" s="11">
        <f t="shared" si="1"/>
        <v>1475</v>
      </c>
      <c r="F15" s="8">
        <f t="shared" si="3"/>
        <v>0.87421840800000006</v>
      </c>
      <c r="G15" s="8">
        <f t="shared" si="2"/>
        <v>1.2749018450000003</v>
      </c>
      <c r="I15" t="s">
        <v>140</v>
      </c>
      <c r="J15" s="1">
        <f>SUMIFS(Data!F:F,Data!B:B,Analysis!$I6)</f>
        <v>0</v>
      </c>
      <c r="K15" s="1">
        <f>SUMIFS(Data!H:H,Data!B:B,Analysis!$I6)</f>
        <v>198720.41</v>
      </c>
      <c r="L15" s="1">
        <f>SUMIFS(Data!J:J,Data!B:B,Analysis!$I6)</f>
        <v>140667.07999999999</v>
      </c>
      <c r="M15" s="1">
        <f>SUMIFS(Data!L:L,Data!B:B,Analysis!$I6)</f>
        <v>126823.43000000001</v>
      </c>
      <c r="N15" s="1">
        <f>SUMIFS(Data!N:N,Data!B:B,Analysis!$I6)</f>
        <v>123225.68</v>
      </c>
      <c r="O15" s="2">
        <f t="shared" si="0"/>
        <v>-0.37990425845035247</v>
      </c>
    </row>
    <row r="16" spans="1:15" x14ac:dyDescent="0.25">
      <c r="A16" t="s">
        <v>270</v>
      </c>
      <c r="B16" s="1">
        <v>613546.23999999999</v>
      </c>
      <c r="C16" s="9">
        <f>_xlfn.NUMBERVALUE(_xlfn.XLOOKUP(A16,Table8[Species name],Table8[min_price_kg],,0),".")</f>
        <v>0.8</v>
      </c>
      <c r="D16" s="9">
        <f>_xlfn.NUMBERVALUE(_xlfn.XLOOKUP(A16,Table8[Species name],Table8[max_price_kg],,0),".")</f>
        <v>1.35</v>
      </c>
      <c r="E16" s="11">
        <f t="shared" si="1"/>
        <v>1075</v>
      </c>
      <c r="F16" s="8">
        <f t="shared" si="3"/>
        <v>0.49083699200000003</v>
      </c>
      <c r="G16" s="8">
        <f t="shared" si="2"/>
        <v>0.82828742399999999</v>
      </c>
      <c r="I16" t="s">
        <v>206</v>
      </c>
      <c r="J16" s="1">
        <f>SUMIFS(Data!F:F,Data!$B:B,Analysis!$I2)</f>
        <v>238096.46</v>
      </c>
      <c r="K16" s="1">
        <f>SUMIFS(Data!H:H,Data!$B:B,Analysis!$I2)</f>
        <v>254731.22</v>
      </c>
      <c r="L16" s="1">
        <f>SUMIFS(Data!J:J,Data!B:B,Analysis!$I2)</f>
        <v>264606.65999999997</v>
      </c>
      <c r="M16" s="1">
        <f>SUMIFS(Data!L:L,Data!B:B,Analysis!$I2)</f>
        <v>291165.77</v>
      </c>
      <c r="N16" s="1">
        <f>SUMIFS(Data!N:N,Data!B:B,Analysis!$I2)</f>
        <v>269843.16000000003</v>
      </c>
      <c r="O16" s="2">
        <f t="shared" si="0"/>
        <v>0.1333354557224414</v>
      </c>
    </row>
    <row r="17" spans="1:15" x14ac:dyDescent="0.25">
      <c r="A17" t="s">
        <v>113</v>
      </c>
      <c r="B17" s="1">
        <v>603736.30999999994</v>
      </c>
      <c r="C17" s="9">
        <f>_xlfn.NUMBERVALUE(_xlfn.XLOOKUP(A17,Table8[Species name],Table8[min_price_kg],,0),".")</f>
        <v>1.5</v>
      </c>
      <c r="D17" s="9">
        <f>_xlfn.NUMBERVALUE(_xlfn.XLOOKUP(A17,Table8[Species name],Table8[max_price_kg],,0),".")</f>
        <v>3.2</v>
      </c>
      <c r="E17" s="11">
        <f t="shared" si="1"/>
        <v>235</v>
      </c>
      <c r="F17" s="8">
        <f t="shared" si="3"/>
        <v>0.9056044649999998</v>
      </c>
      <c r="G17" s="8">
        <f t="shared" si="2"/>
        <v>1.9319561919999999</v>
      </c>
      <c r="I17" t="s">
        <v>173</v>
      </c>
      <c r="J17" s="1">
        <f>SUMIFS(Data!F:F,Data!B:B,Analysis!$I8)</f>
        <v>107063.59</v>
      </c>
      <c r="K17" s="1">
        <f>SUMIFS(Data!H:H,Data!B:B,Analysis!$I8)</f>
        <v>111395.37000000001</v>
      </c>
      <c r="L17" s="1">
        <f>SUMIFS(Data!J:J,Data!B:B,Analysis!$I8)</f>
        <v>114060.45</v>
      </c>
      <c r="M17" s="1">
        <f>SUMIFS(Data!L:L,Data!B:B,Analysis!$I8)</f>
        <v>118856.09</v>
      </c>
      <c r="N17" s="1">
        <f>SUMIFS(Data!N:N,Data!B:B,Analysis!$I8)</f>
        <v>152360.81</v>
      </c>
      <c r="O17" s="2">
        <f t="shared" si="0"/>
        <v>0.42308706442591737</v>
      </c>
    </row>
    <row r="18" spans="1:15" x14ac:dyDescent="0.25">
      <c r="A18" t="s">
        <v>31</v>
      </c>
      <c r="B18" s="1">
        <v>589436.6</v>
      </c>
      <c r="C18" s="9">
        <f>_xlfn.NUMBERVALUE(_xlfn.XLOOKUP(A18,Table8[Species name],Table8[min_price_kg],,0),".")</f>
        <v>0.35</v>
      </c>
      <c r="D18" s="9">
        <f>_xlfn.NUMBERVALUE(_xlfn.XLOOKUP(A18,Table8[Species name],Table8[max_price_kg],,0),".")</f>
        <v>0.95</v>
      </c>
      <c r="E18" s="11">
        <f t="shared" si="1"/>
        <v>65</v>
      </c>
      <c r="F18" s="8">
        <f t="shared" si="3"/>
        <v>0.20630280999999998</v>
      </c>
      <c r="G18" s="8">
        <f t="shared" si="2"/>
        <v>0.55996476999999989</v>
      </c>
      <c r="I18" t="s">
        <v>77</v>
      </c>
      <c r="J18" s="1">
        <f>SUMIFS(Data!F:F,Data!B:B,Analysis!$I7)</f>
        <v>184648.68</v>
      </c>
      <c r="K18" s="1">
        <f>SUMIFS(Data!H:H,Data!B:B,Analysis!$I7)</f>
        <v>132643.38999999998</v>
      </c>
      <c r="L18" s="1">
        <f>SUMIFS(Data!J:J,Data!B:B,Analysis!$I7)</f>
        <v>155358.81</v>
      </c>
      <c r="M18" s="1">
        <f>SUMIFS(Data!L:L,Data!B:B,Analysis!$I7)</f>
        <v>208183.94</v>
      </c>
      <c r="N18" s="1">
        <f>SUMIFS(Data!N:N,Data!B:B,Analysis!$I7)</f>
        <v>201599.74</v>
      </c>
      <c r="O18" s="2">
        <f t="shared" si="0"/>
        <v>9.1801685232734936E-2</v>
      </c>
    </row>
    <row r="19" spans="1:15" x14ac:dyDescent="0.25">
      <c r="A19" t="s">
        <v>55</v>
      </c>
      <c r="B19" s="1">
        <v>576846.92999999993</v>
      </c>
      <c r="C19" s="9">
        <f>_xlfn.NUMBERVALUE(_xlfn.XLOOKUP(A19,Table8[Species name],Table8[min_price_kg],,0),".")</f>
        <v>6.5</v>
      </c>
      <c r="D19" s="9">
        <f>_xlfn.NUMBERVALUE(_xlfn.XLOOKUP(A19,Table8[Species name],Table8[max_price_kg],,0),".")</f>
        <v>12.5</v>
      </c>
      <c r="E19" s="11">
        <f t="shared" si="1"/>
        <v>95</v>
      </c>
      <c r="F19" s="8">
        <f t="shared" si="3"/>
        <v>3.7495050449999994</v>
      </c>
      <c r="G19" s="8">
        <f t="shared" si="2"/>
        <v>7.2105866249999995</v>
      </c>
      <c r="I19" t="s">
        <v>270</v>
      </c>
      <c r="J19" s="1">
        <f>SUMIFS(Data!F:F,Data!B:B,Analysis!$I16)</f>
        <v>509734.73</v>
      </c>
      <c r="K19" s="1">
        <f>SUMIFS(Data!H:H,Data!B:B,Analysis!$I16)</f>
        <v>518516.14</v>
      </c>
      <c r="L19" s="1">
        <f>SUMIFS(Data!J:J,Data!B:B,Analysis!$I16)</f>
        <v>548659.90999999992</v>
      </c>
      <c r="M19" s="1">
        <f>SUMIFS(Data!L:L,Data!B:B,Analysis!$I16)</f>
        <v>527173.16</v>
      </c>
      <c r="N19" s="1">
        <f>SUMIFS(Data!N:N,Data!B:B,Analysis!$I16)</f>
        <v>492396.62</v>
      </c>
      <c r="O19" s="2">
        <f t="shared" si="0"/>
        <v>-3.4013986058984029E-2</v>
      </c>
    </row>
    <row r="20" spans="1:15" x14ac:dyDescent="0.25">
      <c r="A20" t="s">
        <v>229</v>
      </c>
      <c r="B20" s="1">
        <v>568351.95000000007</v>
      </c>
      <c r="C20" s="9">
        <f>_xlfn.NUMBERVALUE(_xlfn.XLOOKUP(A20,Table8[Species name],Table8[min_price_kg],,0),".")</f>
        <v>5.8</v>
      </c>
      <c r="D20" s="9">
        <f>_xlfn.NUMBERVALUE(_xlfn.XLOOKUP(A20,Table8[Species name],Table8[max_price_kg],,0),".")</f>
        <v>9.5</v>
      </c>
      <c r="E20" s="11">
        <f t="shared" si="1"/>
        <v>765</v>
      </c>
      <c r="F20" s="8">
        <f t="shared" si="3"/>
        <v>3.2964413100000005</v>
      </c>
      <c r="G20" s="8">
        <f t="shared" si="2"/>
        <v>5.3993435250000008</v>
      </c>
      <c r="I20" t="s">
        <v>114</v>
      </c>
      <c r="J20" s="1">
        <f>SUMIFS(Data!F:F,Data!B:B,Analysis!$I14)</f>
        <v>0</v>
      </c>
      <c r="K20" s="1">
        <f>SUMIFS(Data!H:H,Data!B:B,Analysis!$I14)</f>
        <v>231539.21999999997</v>
      </c>
      <c r="L20" s="1">
        <f>SUMIFS(Data!J:J,Data!B:B,Analysis!$I14)</f>
        <v>221448.24</v>
      </c>
      <c r="M20" s="1">
        <f>SUMIFS(Data!L:L,Data!B:B,Analysis!$I14)</f>
        <v>198263.94</v>
      </c>
      <c r="N20" s="1">
        <f>SUMIFS(Data!N:N,Data!B:B,Analysis!$I14)</f>
        <v>193178.38</v>
      </c>
      <c r="O20" s="2">
        <f t="shared" si="0"/>
        <v>-0.16567750379395754</v>
      </c>
    </row>
    <row r="21" spans="1:15" x14ac:dyDescent="0.25">
      <c r="A21" t="s">
        <v>208</v>
      </c>
      <c r="B21" s="1">
        <v>516015.28</v>
      </c>
      <c r="C21" s="9">
        <f>_xlfn.NUMBERVALUE(_xlfn.XLOOKUP(A21,Table8[Species name],Table8[min_price_kg],,0),".")</f>
        <v>0.6</v>
      </c>
      <c r="D21" s="9">
        <f>_xlfn.NUMBERVALUE(_xlfn.XLOOKUP(A21,Table8[Species name],Table8[max_price_kg],,0),".")</f>
        <v>1.25</v>
      </c>
      <c r="E21" s="11">
        <f t="shared" si="1"/>
        <v>925</v>
      </c>
      <c r="F21" s="8">
        <f t="shared" si="3"/>
        <v>0.30960916799999999</v>
      </c>
      <c r="G21" s="8">
        <f t="shared" si="2"/>
        <v>0.64501910000000007</v>
      </c>
      <c r="I21" t="s">
        <v>121</v>
      </c>
      <c r="J21" s="1">
        <f>SUMIFS(Data!F:F,Data!B:B,Analysis!$I13)</f>
        <v>1110233.19</v>
      </c>
      <c r="K21" s="1">
        <f>SUMIFS(Data!H:H,Data!B:B,Analysis!$I13)</f>
        <v>300986.8</v>
      </c>
      <c r="L21" s="1">
        <f>SUMIFS(Data!J:J,Data!B:B,Analysis!$I13)</f>
        <v>168759.67999999999</v>
      </c>
      <c r="M21" s="1">
        <f>SUMIFS(Data!L:L,Data!B:B,Analysis!$I13)</f>
        <v>182906.59</v>
      </c>
      <c r="N21" s="1">
        <f>SUMIFS(Data!N:N,Data!B:B,Analysis!$I13)</f>
        <v>230761.9</v>
      </c>
      <c r="O21" s="2">
        <f t="shared" si="0"/>
        <v>-0.79215006173612945</v>
      </c>
    </row>
    <row r="22" spans="1:15" x14ac:dyDescent="0.25">
      <c r="A22" t="s">
        <v>167</v>
      </c>
      <c r="B22" s="1">
        <v>466152.9</v>
      </c>
      <c r="C22" s="9"/>
      <c r="D22" s="9"/>
      <c r="E22" s="10"/>
      <c r="K22" s="1"/>
      <c r="L22" s="1"/>
      <c r="M22" s="1"/>
      <c r="N22" s="1"/>
      <c r="O22" s="1"/>
    </row>
    <row r="23" spans="1:15" x14ac:dyDescent="0.25">
      <c r="A23" t="s">
        <v>51</v>
      </c>
      <c r="B23" s="1">
        <v>436929.57999999996</v>
      </c>
      <c r="C23" s="9"/>
      <c r="D23" s="9"/>
      <c r="E23" s="10"/>
    </row>
    <row r="24" spans="1:15" x14ac:dyDescent="0.25">
      <c r="A24" t="s">
        <v>188</v>
      </c>
      <c r="B24" s="1">
        <v>436059.17999999993</v>
      </c>
      <c r="C24" s="9"/>
      <c r="D24" s="9"/>
      <c r="E24" s="10"/>
    </row>
    <row r="25" spans="1:15" x14ac:dyDescent="0.25">
      <c r="A25" t="s">
        <v>172</v>
      </c>
      <c r="B25" s="1">
        <v>435672.44</v>
      </c>
      <c r="C25" s="9"/>
      <c r="D25" s="9"/>
      <c r="E25" s="10"/>
    </row>
    <row r="26" spans="1:15" x14ac:dyDescent="0.25">
      <c r="A26" t="s">
        <v>233</v>
      </c>
      <c r="B26" s="1">
        <v>430449.99</v>
      </c>
      <c r="C26" s="9"/>
      <c r="D26" s="9"/>
      <c r="E26" s="10"/>
    </row>
    <row r="27" spans="1:15" x14ac:dyDescent="0.25">
      <c r="A27" t="s">
        <v>239</v>
      </c>
      <c r="B27" s="1">
        <v>425493.11</v>
      </c>
      <c r="C27" s="9"/>
      <c r="D27" s="9"/>
      <c r="E27" s="10"/>
    </row>
    <row r="28" spans="1:15" x14ac:dyDescent="0.25">
      <c r="A28" t="s">
        <v>139</v>
      </c>
      <c r="B28" s="1">
        <v>386673.99</v>
      </c>
      <c r="C28" s="9"/>
      <c r="D28" s="9"/>
      <c r="E28" s="10"/>
    </row>
    <row r="29" spans="1:15" x14ac:dyDescent="0.25">
      <c r="A29" t="s">
        <v>50</v>
      </c>
      <c r="B29" s="1">
        <v>356835.93000000005</v>
      </c>
      <c r="C29" s="9"/>
      <c r="D29" s="9"/>
      <c r="E29" s="10"/>
    </row>
    <row r="30" spans="1:15" x14ac:dyDescent="0.25">
      <c r="A30" t="s">
        <v>178</v>
      </c>
      <c r="B30" s="1">
        <v>351905.41000000003</v>
      </c>
      <c r="C30" s="9"/>
      <c r="D30" s="9"/>
      <c r="E30" s="10"/>
    </row>
    <row r="31" spans="1:15" x14ac:dyDescent="0.25">
      <c r="A31" t="s">
        <v>250</v>
      </c>
      <c r="B31" s="1">
        <v>333037.98000000004</v>
      </c>
      <c r="C31" s="9"/>
      <c r="D31" s="9"/>
      <c r="E31" s="10"/>
    </row>
    <row r="32" spans="1:15" x14ac:dyDescent="0.25">
      <c r="A32" t="s">
        <v>213</v>
      </c>
      <c r="B32" s="1">
        <v>331330.99</v>
      </c>
      <c r="C32" s="9"/>
      <c r="D32" s="9"/>
      <c r="E32" s="10"/>
    </row>
    <row r="33" spans="1:5" x14ac:dyDescent="0.25">
      <c r="A33" t="s">
        <v>125</v>
      </c>
      <c r="B33" s="1">
        <v>317587.82999999996</v>
      </c>
      <c r="C33" s="9"/>
      <c r="D33" s="9"/>
      <c r="E33" s="10"/>
    </row>
    <row r="34" spans="1:5" x14ac:dyDescent="0.25">
      <c r="A34" t="s">
        <v>243</v>
      </c>
      <c r="B34" s="1">
        <v>305799.07</v>
      </c>
      <c r="C34" s="9"/>
      <c r="D34" s="9"/>
      <c r="E34" s="10"/>
    </row>
    <row r="35" spans="1:5" x14ac:dyDescent="0.25">
      <c r="A35" t="s">
        <v>145</v>
      </c>
      <c r="B35" s="1">
        <v>301432.64</v>
      </c>
      <c r="C35" s="9"/>
      <c r="D35" s="9"/>
      <c r="E35" s="10"/>
    </row>
    <row r="36" spans="1:5" x14ac:dyDescent="0.25">
      <c r="A36" t="s">
        <v>38</v>
      </c>
      <c r="B36" s="1">
        <v>284492.69</v>
      </c>
      <c r="C36" s="9"/>
      <c r="D36" s="9"/>
      <c r="E36" s="10"/>
    </row>
    <row r="37" spans="1:5" x14ac:dyDescent="0.25">
      <c r="A37" t="s">
        <v>46</v>
      </c>
      <c r="B37" s="1">
        <v>258303.6</v>
      </c>
      <c r="C37" s="9"/>
      <c r="D37" s="9"/>
      <c r="E37" s="10"/>
    </row>
    <row r="38" spans="1:5" x14ac:dyDescent="0.25">
      <c r="A38" t="s">
        <v>60</v>
      </c>
      <c r="B38" s="1">
        <v>244669.04</v>
      </c>
      <c r="C38" s="9"/>
      <c r="D38" s="9"/>
      <c r="E38" s="10"/>
    </row>
    <row r="39" spans="1:5" x14ac:dyDescent="0.25">
      <c r="A39" t="s">
        <v>57</v>
      </c>
      <c r="B39" s="1">
        <v>232719.90999999997</v>
      </c>
      <c r="C39" s="9"/>
      <c r="D39" s="9"/>
      <c r="E39" s="10"/>
    </row>
    <row r="40" spans="1:5" x14ac:dyDescent="0.25">
      <c r="A40" t="s">
        <v>47</v>
      </c>
      <c r="B40" s="1">
        <v>227682.81</v>
      </c>
      <c r="C40" s="9"/>
      <c r="D40" s="9"/>
      <c r="E40" s="10"/>
    </row>
    <row r="41" spans="1:5" x14ac:dyDescent="0.25">
      <c r="A41" t="s">
        <v>95</v>
      </c>
      <c r="B41" s="1">
        <v>224925.22999999998</v>
      </c>
      <c r="C41" s="9"/>
      <c r="D41" s="9"/>
      <c r="E41" s="10"/>
    </row>
    <row r="42" spans="1:5" x14ac:dyDescent="0.25">
      <c r="A42" t="s">
        <v>185</v>
      </c>
      <c r="B42" s="1">
        <v>219885.94</v>
      </c>
      <c r="C42" s="9"/>
      <c r="D42" s="9"/>
      <c r="E42" s="10"/>
    </row>
    <row r="43" spans="1:5" x14ac:dyDescent="0.25">
      <c r="A43" t="s">
        <v>120</v>
      </c>
      <c r="B43" s="1">
        <v>210887.64</v>
      </c>
      <c r="C43" s="9"/>
      <c r="D43" s="9"/>
      <c r="E43" s="10"/>
    </row>
    <row r="44" spans="1:5" x14ac:dyDescent="0.25">
      <c r="A44" t="s">
        <v>196</v>
      </c>
      <c r="B44" s="1">
        <v>201000</v>
      </c>
      <c r="C44" s="9"/>
      <c r="D44" s="9"/>
      <c r="E44" s="10"/>
    </row>
    <row r="45" spans="1:5" x14ac:dyDescent="0.25">
      <c r="A45" t="s">
        <v>286</v>
      </c>
      <c r="B45" s="1">
        <v>199422.68</v>
      </c>
      <c r="C45" s="9"/>
      <c r="D45" s="9"/>
      <c r="E45" s="10"/>
    </row>
    <row r="46" spans="1:5" x14ac:dyDescent="0.25">
      <c r="A46" t="s">
        <v>32</v>
      </c>
      <c r="B46" s="1">
        <v>195850</v>
      </c>
      <c r="C46" s="9"/>
      <c r="D46" s="9"/>
      <c r="E46" s="10"/>
    </row>
    <row r="47" spans="1:5" x14ac:dyDescent="0.25">
      <c r="A47" t="s">
        <v>78</v>
      </c>
      <c r="B47" s="1">
        <v>194445.59</v>
      </c>
      <c r="C47" s="9"/>
      <c r="D47" s="9"/>
      <c r="E47" s="10"/>
    </row>
    <row r="48" spans="1:5" x14ac:dyDescent="0.25">
      <c r="A48" t="s">
        <v>43</v>
      </c>
      <c r="B48" s="1">
        <v>193846.64</v>
      </c>
      <c r="C48" s="9"/>
      <c r="D48" s="9"/>
      <c r="E48" s="10"/>
    </row>
    <row r="49" spans="1:5" x14ac:dyDescent="0.25">
      <c r="A49" t="s">
        <v>161</v>
      </c>
      <c r="B49" s="1">
        <v>189961.70000000004</v>
      </c>
      <c r="C49" s="9"/>
      <c r="D49" s="9"/>
      <c r="E49" s="10"/>
    </row>
    <row r="50" spans="1:5" x14ac:dyDescent="0.25">
      <c r="A50" t="s">
        <v>141</v>
      </c>
      <c r="B50" s="1">
        <v>187622.78</v>
      </c>
      <c r="C50" s="9"/>
      <c r="D50" s="9"/>
      <c r="E50" s="10"/>
    </row>
    <row r="51" spans="1:5" x14ac:dyDescent="0.25">
      <c r="A51" t="s">
        <v>39</v>
      </c>
      <c r="B51" s="1">
        <v>182829.89</v>
      </c>
      <c r="C51" s="9"/>
      <c r="D51" s="9"/>
      <c r="E51" s="10"/>
    </row>
    <row r="52" spans="1:5" x14ac:dyDescent="0.25">
      <c r="A52" t="s">
        <v>249</v>
      </c>
      <c r="B52" s="1">
        <v>169428.79</v>
      </c>
      <c r="C52" s="9"/>
      <c r="D52" s="9"/>
      <c r="E52" s="10"/>
    </row>
    <row r="53" spans="1:5" x14ac:dyDescent="0.25">
      <c r="A53" t="s">
        <v>48</v>
      </c>
      <c r="B53" s="1">
        <v>168045.63999999998</v>
      </c>
      <c r="C53" s="9"/>
      <c r="D53" s="9"/>
      <c r="E53" s="10"/>
    </row>
    <row r="54" spans="1:5" x14ac:dyDescent="0.25">
      <c r="A54" t="s">
        <v>246</v>
      </c>
      <c r="B54" s="1">
        <v>160851.91999999998</v>
      </c>
      <c r="C54" s="9"/>
      <c r="D54" s="9"/>
      <c r="E54" s="10"/>
    </row>
    <row r="55" spans="1:5" x14ac:dyDescent="0.25">
      <c r="A55" t="s">
        <v>235</v>
      </c>
      <c r="B55" s="1">
        <v>159905.96</v>
      </c>
      <c r="C55" s="9"/>
      <c r="D55" s="9"/>
      <c r="E55" s="10"/>
    </row>
    <row r="56" spans="1:5" x14ac:dyDescent="0.25">
      <c r="A56" t="s">
        <v>70</v>
      </c>
      <c r="B56" s="1">
        <v>155589.39999999997</v>
      </c>
      <c r="C56" s="9"/>
      <c r="D56" s="9"/>
      <c r="E56" s="10"/>
    </row>
    <row r="57" spans="1:5" x14ac:dyDescent="0.25">
      <c r="A57" t="s">
        <v>106</v>
      </c>
      <c r="B57" s="1">
        <v>148558.13</v>
      </c>
      <c r="C57" s="9"/>
      <c r="D57" s="9"/>
      <c r="E57" s="10"/>
    </row>
    <row r="58" spans="1:5" x14ac:dyDescent="0.25">
      <c r="A58" t="s">
        <v>41</v>
      </c>
      <c r="B58" s="1">
        <v>144297.40999999997</v>
      </c>
      <c r="C58" s="9"/>
      <c r="D58" s="9"/>
      <c r="E58" s="10"/>
    </row>
    <row r="59" spans="1:5" x14ac:dyDescent="0.25">
      <c r="A59" t="s">
        <v>97</v>
      </c>
      <c r="B59" s="1">
        <v>139107.06</v>
      </c>
      <c r="C59" s="9"/>
      <c r="D59" s="9"/>
      <c r="E59" s="10"/>
    </row>
    <row r="60" spans="1:5" x14ac:dyDescent="0.25">
      <c r="A60" t="s">
        <v>190</v>
      </c>
      <c r="B60" s="1">
        <v>133784.65</v>
      </c>
      <c r="C60" s="9"/>
      <c r="D60" s="9"/>
      <c r="E60" s="10"/>
    </row>
    <row r="61" spans="1:5" x14ac:dyDescent="0.25">
      <c r="A61" t="s">
        <v>35</v>
      </c>
      <c r="B61" s="1">
        <v>128358.18</v>
      </c>
      <c r="C61" s="9"/>
      <c r="D61" s="9"/>
      <c r="E61" s="10"/>
    </row>
    <row r="62" spans="1:5" x14ac:dyDescent="0.25">
      <c r="A62" t="s">
        <v>211</v>
      </c>
      <c r="B62" s="1">
        <v>120424.64</v>
      </c>
      <c r="C62" s="9"/>
      <c r="D62" s="9"/>
      <c r="E62" s="10"/>
    </row>
    <row r="63" spans="1:5" x14ac:dyDescent="0.25">
      <c r="A63" t="s">
        <v>238</v>
      </c>
      <c r="B63" s="1">
        <v>115812.76999999999</v>
      </c>
      <c r="C63" s="9"/>
      <c r="D63" s="9"/>
      <c r="E63" s="10"/>
    </row>
    <row r="64" spans="1:5" x14ac:dyDescent="0.25">
      <c r="A64" t="s">
        <v>176</v>
      </c>
      <c r="B64" s="1">
        <v>114386.16</v>
      </c>
      <c r="C64" s="9"/>
      <c r="D64" s="9"/>
      <c r="E64" s="10"/>
    </row>
    <row r="65" spans="1:5" x14ac:dyDescent="0.25">
      <c r="A65" t="s">
        <v>87</v>
      </c>
      <c r="B65" s="1">
        <v>110397.58</v>
      </c>
      <c r="C65" s="9"/>
      <c r="D65" s="9"/>
      <c r="E65" s="10"/>
    </row>
    <row r="66" spans="1:5" x14ac:dyDescent="0.25">
      <c r="A66" t="s">
        <v>153</v>
      </c>
      <c r="B66" s="1">
        <v>106922.59</v>
      </c>
      <c r="C66" s="9"/>
      <c r="D66" s="9"/>
      <c r="E66" s="10"/>
    </row>
    <row r="67" spans="1:5" x14ac:dyDescent="0.25">
      <c r="A67" t="s">
        <v>267</v>
      </c>
      <c r="B67" s="1">
        <v>105236.31</v>
      </c>
      <c r="C67" s="9"/>
      <c r="D67" s="9"/>
      <c r="E67" s="10"/>
    </row>
    <row r="68" spans="1:5" x14ac:dyDescent="0.25">
      <c r="A68" t="s">
        <v>252</v>
      </c>
      <c r="B68" s="1">
        <v>104592.98999999999</v>
      </c>
      <c r="C68" s="9"/>
      <c r="D68" s="9"/>
      <c r="E68" s="10"/>
    </row>
    <row r="69" spans="1:5" x14ac:dyDescent="0.25">
      <c r="A69" t="s">
        <v>86</v>
      </c>
      <c r="B69" s="1">
        <v>102249.42</v>
      </c>
      <c r="C69" s="9"/>
      <c r="D69" s="9"/>
      <c r="E69" s="10"/>
    </row>
    <row r="70" spans="1:5" x14ac:dyDescent="0.25">
      <c r="A70" t="s">
        <v>112</v>
      </c>
      <c r="B70" s="1">
        <v>101832.45999999998</v>
      </c>
      <c r="C70" s="9"/>
      <c r="D70" s="9"/>
      <c r="E70" s="10"/>
    </row>
    <row r="71" spans="1:5" x14ac:dyDescent="0.25">
      <c r="A71" t="s">
        <v>171</v>
      </c>
      <c r="B71" s="1">
        <v>100190.87999999999</v>
      </c>
      <c r="C71" s="9"/>
      <c r="D71" s="9"/>
      <c r="E71" s="10"/>
    </row>
    <row r="72" spans="1:5" x14ac:dyDescent="0.25">
      <c r="A72" t="s">
        <v>80</v>
      </c>
      <c r="B72" s="1">
        <v>99483.12000000001</v>
      </c>
      <c r="C72" s="9"/>
      <c r="D72" s="9"/>
      <c r="E72" s="10"/>
    </row>
    <row r="73" spans="1:5" x14ac:dyDescent="0.25">
      <c r="A73" t="s">
        <v>258</v>
      </c>
      <c r="B73" s="1">
        <v>99174.6</v>
      </c>
      <c r="C73" s="9"/>
      <c r="D73" s="9"/>
      <c r="E73" s="10"/>
    </row>
    <row r="74" spans="1:5" x14ac:dyDescent="0.25">
      <c r="A74" t="s">
        <v>64</v>
      </c>
      <c r="B74" s="1">
        <v>99172.14</v>
      </c>
      <c r="C74" s="9"/>
      <c r="D74" s="9"/>
      <c r="E74" s="10"/>
    </row>
    <row r="75" spans="1:5" x14ac:dyDescent="0.25">
      <c r="A75" t="s">
        <v>111</v>
      </c>
      <c r="B75" s="1">
        <v>96262.849999999991</v>
      </c>
      <c r="C75" s="9"/>
      <c r="D75" s="9"/>
      <c r="E75" s="10"/>
    </row>
    <row r="76" spans="1:5" x14ac:dyDescent="0.25">
      <c r="A76" t="s">
        <v>193</v>
      </c>
      <c r="B76" s="1">
        <v>95640.55</v>
      </c>
      <c r="C76" s="9"/>
      <c r="D76" s="9"/>
      <c r="E76" s="10"/>
    </row>
    <row r="77" spans="1:5" x14ac:dyDescent="0.25">
      <c r="A77" t="s">
        <v>169</v>
      </c>
      <c r="B77" s="1">
        <v>94904.3</v>
      </c>
      <c r="C77" s="9"/>
      <c r="D77" s="9"/>
      <c r="E77" s="10"/>
    </row>
    <row r="78" spans="1:5" x14ac:dyDescent="0.25">
      <c r="A78" t="s">
        <v>76</v>
      </c>
      <c r="B78" s="1">
        <v>90135.52</v>
      </c>
      <c r="C78" s="9"/>
      <c r="D78" s="9"/>
      <c r="E78" s="10"/>
    </row>
    <row r="79" spans="1:5" x14ac:dyDescent="0.25">
      <c r="A79" t="s">
        <v>94</v>
      </c>
      <c r="B79" s="1">
        <v>89981.930000000008</v>
      </c>
      <c r="C79" s="9"/>
      <c r="D79" s="9"/>
      <c r="E79" s="10"/>
    </row>
    <row r="80" spans="1:5" x14ac:dyDescent="0.25">
      <c r="A80" t="s">
        <v>204</v>
      </c>
      <c r="B80" s="1">
        <v>88391.48000000001</v>
      </c>
      <c r="C80" s="9"/>
      <c r="D80" s="9"/>
      <c r="E80" s="10"/>
    </row>
    <row r="81" spans="1:5" x14ac:dyDescent="0.25">
      <c r="A81" t="s">
        <v>144</v>
      </c>
      <c r="B81" s="1">
        <v>88325.810000000012</v>
      </c>
      <c r="C81" s="9"/>
      <c r="D81" s="9"/>
      <c r="E81" s="10"/>
    </row>
    <row r="82" spans="1:5" x14ac:dyDescent="0.25">
      <c r="A82" t="s">
        <v>189</v>
      </c>
      <c r="B82" s="1">
        <v>87446.290000000008</v>
      </c>
      <c r="C82" s="9"/>
      <c r="D82" s="9"/>
      <c r="E82" s="10"/>
    </row>
    <row r="83" spans="1:5" x14ac:dyDescent="0.25">
      <c r="A83" t="s">
        <v>75</v>
      </c>
      <c r="B83" s="1">
        <v>86757.06</v>
      </c>
      <c r="C83" s="9"/>
      <c r="D83" s="9"/>
      <c r="E83" s="10"/>
    </row>
    <row r="84" spans="1:5" x14ac:dyDescent="0.25">
      <c r="A84" t="s">
        <v>54</v>
      </c>
      <c r="B84" s="1">
        <v>85107.3</v>
      </c>
      <c r="C84" s="9"/>
      <c r="D84" s="9"/>
      <c r="E84" s="10"/>
    </row>
    <row r="85" spans="1:5" x14ac:dyDescent="0.25">
      <c r="A85" t="s">
        <v>259</v>
      </c>
      <c r="B85" s="1">
        <v>84983.239999999991</v>
      </c>
      <c r="C85" s="9"/>
      <c r="D85" s="9"/>
      <c r="E85" s="10"/>
    </row>
    <row r="86" spans="1:5" x14ac:dyDescent="0.25">
      <c r="A86" t="s">
        <v>192</v>
      </c>
      <c r="B86" s="1">
        <v>84834.280000000013</v>
      </c>
      <c r="C86" s="9"/>
      <c r="D86" s="9"/>
      <c r="E86" s="10"/>
    </row>
    <row r="87" spans="1:5" x14ac:dyDescent="0.25">
      <c r="A87" t="s">
        <v>122</v>
      </c>
      <c r="B87" s="1">
        <v>84615.26</v>
      </c>
      <c r="C87" s="9"/>
      <c r="D87" s="9"/>
      <c r="E87" s="10"/>
    </row>
    <row r="88" spans="1:5" x14ac:dyDescent="0.25">
      <c r="A88" t="s">
        <v>105</v>
      </c>
      <c r="B88" s="1">
        <v>81854.559999999998</v>
      </c>
      <c r="C88" s="9"/>
      <c r="D88" s="9"/>
      <c r="E88" s="10"/>
    </row>
    <row r="89" spans="1:5" x14ac:dyDescent="0.25">
      <c r="A89" t="s">
        <v>152</v>
      </c>
      <c r="B89" s="1">
        <v>81132.11</v>
      </c>
      <c r="C89" s="9"/>
      <c r="D89" s="9"/>
      <c r="E89" s="10"/>
    </row>
    <row r="90" spans="1:5" x14ac:dyDescent="0.25">
      <c r="A90" t="s">
        <v>149</v>
      </c>
      <c r="B90" s="1">
        <v>80064.149999999994</v>
      </c>
      <c r="C90" s="9"/>
      <c r="D90" s="9"/>
      <c r="E90" s="10"/>
    </row>
    <row r="91" spans="1:5" x14ac:dyDescent="0.25">
      <c r="A91" t="s">
        <v>110</v>
      </c>
      <c r="B91" s="1">
        <v>79828.52</v>
      </c>
      <c r="C91" s="9"/>
      <c r="D91" s="9"/>
      <c r="E91" s="10"/>
    </row>
    <row r="92" spans="1:5" x14ac:dyDescent="0.25">
      <c r="A92" t="s">
        <v>180</v>
      </c>
      <c r="B92" s="1">
        <v>78895.180000000008</v>
      </c>
      <c r="C92" s="9"/>
      <c r="D92" s="9"/>
      <c r="E92" s="10"/>
    </row>
    <row r="93" spans="1:5" x14ac:dyDescent="0.25">
      <c r="A93" t="s">
        <v>175</v>
      </c>
      <c r="B93" s="1">
        <v>78598.2</v>
      </c>
      <c r="C93" s="9"/>
      <c r="D93" s="9"/>
      <c r="E93" s="10"/>
    </row>
    <row r="94" spans="1:5" x14ac:dyDescent="0.25">
      <c r="A94" t="s">
        <v>143</v>
      </c>
      <c r="B94" s="1">
        <v>75369.53</v>
      </c>
      <c r="C94" s="9"/>
      <c r="D94" s="9"/>
      <c r="E94" s="10"/>
    </row>
    <row r="95" spans="1:5" x14ac:dyDescent="0.25">
      <c r="A95" t="s">
        <v>182</v>
      </c>
      <c r="B95" s="1">
        <v>75341.509999999995</v>
      </c>
      <c r="C95" s="9"/>
      <c r="D95" s="9"/>
      <c r="E95" s="10"/>
    </row>
    <row r="96" spans="1:5" x14ac:dyDescent="0.25">
      <c r="A96" t="s">
        <v>138</v>
      </c>
      <c r="B96" s="1">
        <v>74194.959999999992</v>
      </c>
      <c r="C96" s="9"/>
      <c r="D96" s="9"/>
      <c r="E96" s="10"/>
    </row>
    <row r="97" spans="1:5" x14ac:dyDescent="0.25">
      <c r="A97" t="s">
        <v>227</v>
      </c>
      <c r="B97" s="1">
        <v>71909.91</v>
      </c>
      <c r="C97" s="9"/>
      <c r="D97" s="9"/>
      <c r="E97" s="10"/>
    </row>
    <row r="98" spans="1:5" x14ac:dyDescent="0.25">
      <c r="A98" t="s">
        <v>287</v>
      </c>
      <c r="B98" s="1">
        <v>68208.639999999999</v>
      </c>
      <c r="C98" s="9"/>
      <c r="D98" s="9"/>
      <c r="E98" s="10"/>
    </row>
    <row r="99" spans="1:5" x14ac:dyDescent="0.25">
      <c r="A99" t="s">
        <v>191</v>
      </c>
      <c r="B99" s="1">
        <v>65109.79</v>
      </c>
      <c r="C99" s="9"/>
      <c r="D99" s="9"/>
      <c r="E99" s="10"/>
    </row>
    <row r="100" spans="1:5" x14ac:dyDescent="0.25">
      <c r="A100" t="s">
        <v>219</v>
      </c>
      <c r="B100" s="1">
        <v>62177.24</v>
      </c>
      <c r="C100" s="9"/>
      <c r="D100" s="9"/>
      <c r="E100" s="10"/>
    </row>
    <row r="101" spans="1:5" x14ac:dyDescent="0.25">
      <c r="A101" t="s">
        <v>218</v>
      </c>
      <c r="B101" s="1">
        <v>62036.520000000004</v>
      </c>
      <c r="C101" s="9"/>
      <c r="D101" s="9"/>
      <c r="E101" s="10"/>
    </row>
    <row r="102" spans="1:5" x14ac:dyDescent="0.25">
      <c r="A102" t="s">
        <v>197</v>
      </c>
      <c r="B102" s="1">
        <v>62008.340000000004</v>
      </c>
      <c r="C102" s="9"/>
      <c r="D102" s="9"/>
      <c r="E102" s="10"/>
    </row>
    <row r="103" spans="1:5" x14ac:dyDescent="0.25">
      <c r="A103" t="s">
        <v>58</v>
      </c>
      <c r="B103" s="1">
        <v>61241.689999999995</v>
      </c>
      <c r="C103" s="9"/>
      <c r="D103" s="9"/>
      <c r="E103" s="10"/>
    </row>
    <row r="104" spans="1:5" x14ac:dyDescent="0.25">
      <c r="A104" t="s">
        <v>220</v>
      </c>
      <c r="B104" s="1">
        <v>61103.33</v>
      </c>
      <c r="C104" s="9"/>
      <c r="D104" s="9"/>
      <c r="E104" s="10"/>
    </row>
    <row r="105" spans="1:5" x14ac:dyDescent="0.25">
      <c r="A105" t="s">
        <v>260</v>
      </c>
      <c r="B105" s="1">
        <v>59991.630000000005</v>
      </c>
      <c r="C105" s="9"/>
      <c r="D105" s="9"/>
      <c r="E105" s="10"/>
    </row>
    <row r="106" spans="1:5" x14ac:dyDescent="0.25">
      <c r="A106" t="s">
        <v>146</v>
      </c>
      <c r="B106" s="1">
        <v>57957.34</v>
      </c>
      <c r="C106" s="9"/>
      <c r="D106" s="9"/>
      <c r="E106" s="10"/>
    </row>
    <row r="107" spans="1:5" x14ac:dyDescent="0.25">
      <c r="A107" t="s">
        <v>179</v>
      </c>
      <c r="B107" s="1">
        <v>57936.46</v>
      </c>
      <c r="C107" s="9"/>
      <c r="D107" s="9"/>
      <c r="E107" s="10"/>
    </row>
    <row r="108" spans="1:5" x14ac:dyDescent="0.25">
      <c r="A108" t="s">
        <v>280</v>
      </c>
      <c r="B108" s="1">
        <v>56190.110000000008</v>
      </c>
      <c r="C108" s="9"/>
      <c r="D108" s="9"/>
      <c r="E108" s="10"/>
    </row>
    <row r="109" spans="1:5" x14ac:dyDescent="0.25">
      <c r="A109" t="s">
        <v>222</v>
      </c>
      <c r="B109" s="1">
        <v>53986.240000000005</v>
      </c>
      <c r="C109" s="9"/>
      <c r="D109" s="9"/>
      <c r="E109" s="10"/>
    </row>
    <row r="110" spans="1:5" x14ac:dyDescent="0.25">
      <c r="A110" t="s">
        <v>254</v>
      </c>
      <c r="B110" s="1">
        <v>53795.32</v>
      </c>
      <c r="C110" s="9"/>
      <c r="D110" s="9"/>
      <c r="E110" s="10"/>
    </row>
    <row r="111" spans="1:5" x14ac:dyDescent="0.25">
      <c r="A111" t="s">
        <v>84</v>
      </c>
      <c r="B111" s="1">
        <v>52656.81</v>
      </c>
      <c r="C111" s="9"/>
      <c r="D111" s="9"/>
      <c r="E111" s="10"/>
    </row>
    <row r="112" spans="1:5" x14ac:dyDescent="0.25">
      <c r="A112" t="s">
        <v>183</v>
      </c>
      <c r="B112" s="1">
        <v>51271.439999999995</v>
      </c>
      <c r="C112" s="9"/>
      <c r="D112" s="9"/>
      <c r="E112" s="10"/>
    </row>
    <row r="113" spans="1:5" x14ac:dyDescent="0.25">
      <c r="A113" t="s">
        <v>284</v>
      </c>
      <c r="B113" s="1">
        <v>49599.05</v>
      </c>
      <c r="C113" s="9"/>
      <c r="D113" s="9"/>
      <c r="E113" s="10"/>
    </row>
    <row r="114" spans="1:5" x14ac:dyDescent="0.25">
      <c r="A114" t="s">
        <v>81</v>
      </c>
      <c r="B114" s="1">
        <v>48849.919999999998</v>
      </c>
      <c r="C114" s="9"/>
      <c r="D114" s="9"/>
      <c r="E114" s="10"/>
    </row>
    <row r="115" spans="1:5" x14ac:dyDescent="0.25">
      <c r="A115" t="s">
        <v>181</v>
      </c>
      <c r="B115" s="1">
        <v>46299.59</v>
      </c>
      <c r="C115" s="9"/>
      <c r="D115" s="9"/>
      <c r="E115" s="10"/>
    </row>
    <row r="116" spans="1:5" x14ac:dyDescent="0.25">
      <c r="A116" t="s">
        <v>30</v>
      </c>
      <c r="B116" s="1">
        <v>45318.130000000005</v>
      </c>
      <c r="C116" s="9"/>
      <c r="D116" s="9"/>
      <c r="E116" s="10"/>
    </row>
    <row r="117" spans="1:5" x14ac:dyDescent="0.25">
      <c r="A117" t="s">
        <v>42</v>
      </c>
      <c r="B117" s="1">
        <v>44716.850000000006</v>
      </c>
      <c r="C117" s="9"/>
      <c r="D117" s="9"/>
      <c r="E117" s="10"/>
    </row>
    <row r="118" spans="1:5" x14ac:dyDescent="0.25">
      <c r="A118" t="s">
        <v>135</v>
      </c>
      <c r="B118" s="1">
        <v>39271.829999999994</v>
      </c>
      <c r="C118" s="9"/>
      <c r="D118" s="9"/>
      <c r="E118" s="10"/>
    </row>
    <row r="119" spans="1:5" x14ac:dyDescent="0.25">
      <c r="A119" t="s">
        <v>261</v>
      </c>
      <c r="B119" s="1">
        <v>38508.899999999994</v>
      </c>
      <c r="C119" s="9"/>
      <c r="D119" s="9"/>
      <c r="E119" s="10"/>
    </row>
    <row r="120" spans="1:5" x14ac:dyDescent="0.25">
      <c r="A120" t="s">
        <v>136</v>
      </c>
      <c r="B120" s="1">
        <v>37788.75</v>
      </c>
      <c r="C120" s="9"/>
      <c r="D120" s="9"/>
      <c r="E120" s="10"/>
    </row>
    <row r="121" spans="1:5" x14ac:dyDescent="0.25">
      <c r="A121" t="s">
        <v>257</v>
      </c>
      <c r="B121" s="1">
        <v>37535.9</v>
      </c>
      <c r="C121" s="9"/>
      <c r="D121" s="9"/>
      <c r="E121" s="10"/>
    </row>
    <row r="122" spans="1:5" x14ac:dyDescent="0.25">
      <c r="A122" t="s">
        <v>245</v>
      </c>
      <c r="B122" s="1">
        <v>36466.82</v>
      </c>
      <c r="C122" s="9"/>
      <c r="D122" s="9"/>
      <c r="E122" s="10"/>
    </row>
    <row r="123" spans="1:5" x14ac:dyDescent="0.25">
      <c r="A123" t="s">
        <v>237</v>
      </c>
      <c r="B123" s="1">
        <v>36101.410000000003</v>
      </c>
      <c r="C123" s="9"/>
      <c r="D123" s="9"/>
      <c r="E123" s="10"/>
    </row>
    <row r="124" spans="1:5" x14ac:dyDescent="0.25">
      <c r="A124" t="s">
        <v>127</v>
      </c>
      <c r="B124" s="1">
        <v>36100.810000000005</v>
      </c>
      <c r="C124" s="9"/>
      <c r="D124" s="9"/>
      <c r="E124" s="10"/>
    </row>
    <row r="125" spans="1:5" x14ac:dyDescent="0.25">
      <c r="A125" t="s">
        <v>262</v>
      </c>
      <c r="B125" s="1">
        <v>32944.17</v>
      </c>
      <c r="C125" s="9"/>
      <c r="D125" s="9"/>
      <c r="E125" s="10"/>
    </row>
    <row r="126" spans="1:5" x14ac:dyDescent="0.25">
      <c r="A126" t="s">
        <v>234</v>
      </c>
      <c r="B126" s="1">
        <v>32894.439999999995</v>
      </c>
      <c r="C126" s="9"/>
      <c r="D126" s="9"/>
      <c r="E126" s="10"/>
    </row>
    <row r="127" spans="1:5" x14ac:dyDescent="0.25">
      <c r="A127" t="s">
        <v>119</v>
      </c>
      <c r="B127" s="1">
        <v>32836.06</v>
      </c>
      <c r="C127" s="9"/>
      <c r="D127" s="9"/>
      <c r="E127" s="10"/>
    </row>
    <row r="128" spans="1:5" x14ac:dyDescent="0.25">
      <c r="A128" t="s">
        <v>281</v>
      </c>
      <c r="B128" s="1">
        <v>32594.38</v>
      </c>
      <c r="C128" s="9"/>
      <c r="D128" s="9"/>
      <c r="E128" s="10"/>
    </row>
    <row r="129" spans="1:5" x14ac:dyDescent="0.25">
      <c r="A129" t="s">
        <v>100</v>
      </c>
      <c r="B129" s="1">
        <v>30792.83</v>
      </c>
      <c r="C129" s="9"/>
      <c r="D129" s="9"/>
      <c r="E129" s="10"/>
    </row>
    <row r="130" spans="1:5" x14ac:dyDescent="0.25">
      <c r="A130" t="s">
        <v>164</v>
      </c>
      <c r="B130" s="1">
        <v>29731.340000000004</v>
      </c>
      <c r="C130" s="9"/>
      <c r="D130" s="9"/>
      <c r="E130" s="10"/>
    </row>
    <row r="131" spans="1:5" x14ac:dyDescent="0.25">
      <c r="A131" t="s">
        <v>108</v>
      </c>
      <c r="B131" s="1">
        <v>29452.68</v>
      </c>
      <c r="C131" s="9"/>
      <c r="D131" s="9"/>
      <c r="E131" s="10"/>
    </row>
    <row r="132" spans="1:5" x14ac:dyDescent="0.25">
      <c r="A132" t="s">
        <v>117</v>
      </c>
      <c r="B132" s="1">
        <v>28942.14</v>
      </c>
      <c r="C132" s="9"/>
      <c r="D132" s="9"/>
      <c r="E132" s="10"/>
    </row>
    <row r="133" spans="1:5" x14ac:dyDescent="0.25">
      <c r="A133" t="s">
        <v>59</v>
      </c>
      <c r="B133" s="1">
        <v>28201.11</v>
      </c>
      <c r="C133" s="9"/>
      <c r="D133" s="9"/>
      <c r="E133" s="10"/>
    </row>
    <row r="134" spans="1:5" x14ac:dyDescent="0.25">
      <c r="A134" t="s">
        <v>118</v>
      </c>
      <c r="B134" s="1">
        <v>27593.49</v>
      </c>
      <c r="C134" s="9"/>
      <c r="D134" s="9"/>
      <c r="E134" s="10"/>
    </row>
    <row r="135" spans="1:5" x14ac:dyDescent="0.25">
      <c r="A135" t="s">
        <v>49</v>
      </c>
      <c r="B135" s="1">
        <v>27130.269999999997</v>
      </c>
      <c r="C135" s="9"/>
      <c r="D135" s="9"/>
      <c r="E135" s="10"/>
    </row>
    <row r="136" spans="1:5" x14ac:dyDescent="0.25">
      <c r="A136" t="s">
        <v>212</v>
      </c>
      <c r="B136" s="1">
        <v>27082.78</v>
      </c>
      <c r="C136" s="9"/>
      <c r="D136" s="9"/>
      <c r="E136" s="10"/>
    </row>
    <row r="137" spans="1:5" x14ac:dyDescent="0.25">
      <c r="A137" t="s">
        <v>255</v>
      </c>
      <c r="B137" s="1">
        <v>26927.780000000002</v>
      </c>
      <c r="C137" s="9"/>
      <c r="D137" s="9"/>
      <c r="E137" s="10"/>
    </row>
    <row r="138" spans="1:5" x14ac:dyDescent="0.25">
      <c r="A138" t="s">
        <v>187</v>
      </c>
      <c r="B138" s="1">
        <v>26619.410000000003</v>
      </c>
      <c r="C138" s="9"/>
      <c r="D138" s="9"/>
      <c r="E138" s="10"/>
    </row>
    <row r="139" spans="1:5" x14ac:dyDescent="0.25">
      <c r="A139" t="s">
        <v>126</v>
      </c>
      <c r="B139" s="1">
        <v>26394.22</v>
      </c>
      <c r="C139" s="9"/>
      <c r="D139" s="9"/>
      <c r="E139" s="10"/>
    </row>
    <row r="140" spans="1:5" x14ac:dyDescent="0.25">
      <c r="A140" t="s">
        <v>83</v>
      </c>
      <c r="B140" s="1">
        <v>26173.87</v>
      </c>
      <c r="C140" s="9"/>
      <c r="D140" s="9"/>
      <c r="E140" s="10"/>
    </row>
    <row r="141" spans="1:5" x14ac:dyDescent="0.25">
      <c r="A141" t="s">
        <v>253</v>
      </c>
      <c r="B141" s="1">
        <v>25906.75</v>
      </c>
      <c r="C141" s="9"/>
      <c r="D141" s="9"/>
      <c r="E141" s="10"/>
    </row>
    <row r="142" spans="1:5" x14ac:dyDescent="0.25">
      <c r="A142" t="s">
        <v>147</v>
      </c>
      <c r="B142" s="1">
        <v>25413.149999999998</v>
      </c>
      <c r="C142" s="9"/>
      <c r="D142" s="9"/>
      <c r="E142" s="10"/>
    </row>
    <row r="143" spans="1:5" x14ac:dyDescent="0.25">
      <c r="A143" t="s">
        <v>209</v>
      </c>
      <c r="B143" s="1">
        <v>24587.73</v>
      </c>
      <c r="C143" s="9"/>
      <c r="D143" s="9"/>
      <c r="E143" s="10"/>
    </row>
    <row r="144" spans="1:5" x14ac:dyDescent="0.25">
      <c r="A144" t="s">
        <v>116</v>
      </c>
      <c r="B144" s="1">
        <v>24193.130000000005</v>
      </c>
      <c r="C144" s="9"/>
      <c r="D144" s="9"/>
      <c r="E144" s="10"/>
    </row>
    <row r="145" spans="1:5" x14ac:dyDescent="0.25">
      <c r="A145" t="s">
        <v>109</v>
      </c>
      <c r="B145" s="1">
        <v>24154.879999999997</v>
      </c>
      <c r="C145" s="9"/>
      <c r="D145" s="9"/>
      <c r="E145" s="10"/>
    </row>
    <row r="146" spans="1:5" x14ac:dyDescent="0.25">
      <c r="A146" t="s">
        <v>151</v>
      </c>
      <c r="B146" s="1">
        <v>24082.789999999997</v>
      </c>
      <c r="C146" s="9"/>
      <c r="D146" s="9"/>
      <c r="E146" s="10"/>
    </row>
    <row r="147" spans="1:5" x14ac:dyDescent="0.25">
      <c r="A147" t="s">
        <v>96</v>
      </c>
      <c r="B147" s="1">
        <v>21753.27</v>
      </c>
      <c r="C147" s="9"/>
      <c r="D147" s="9"/>
      <c r="E147" s="10"/>
    </row>
    <row r="148" spans="1:5" x14ac:dyDescent="0.25">
      <c r="A148" t="s">
        <v>89</v>
      </c>
      <c r="B148" s="1">
        <v>20722</v>
      </c>
      <c r="C148" s="9"/>
      <c r="D148" s="9"/>
      <c r="E148" s="10"/>
    </row>
    <row r="149" spans="1:5" x14ac:dyDescent="0.25">
      <c r="A149" t="s">
        <v>137</v>
      </c>
      <c r="B149" s="1">
        <v>20063.64</v>
      </c>
      <c r="C149" s="9"/>
      <c r="D149" s="9"/>
      <c r="E149" s="10"/>
    </row>
    <row r="150" spans="1:5" x14ac:dyDescent="0.25">
      <c r="A150" t="s">
        <v>124</v>
      </c>
      <c r="B150" s="1">
        <v>19165.68</v>
      </c>
      <c r="C150" s="9"/>
      <c r="D150" s="9"/>
      <c r="E150" s="10"/>
    </row>
    <row r="151" spans="1:5" x14ac:dyDescent="0.25">
      <c r="A151" t="s">
        <v>123</v>
      </c>
      <c r="B151" s="1">
        <v>18090.73</v>
      </c>
      <c r="C151" s="9"/>
      <c r="D151" s="9"/>
      <c r="E151" s="10"/>
    </row>
    <row r="152" spans="1:5" x14ac:dyDescent="0.25">
      <c r="A152" t="s">
        <v>240</v>
      </c>
      <c r="B152" s="1">
        <v>17920.96</v>
      </c>
      <c r="C152" s="9"/>
      <c r="D152" s="9"/>
      <c r="E152" s="10"/>
    </row>
    <row r="153" spans="1:5" x14ac:dyDescent="0.25">
      <c r="A153" t="s">
        <v>162</v>
      </c>
      <c r="B153" s="1">
        <v>17124.099999999999</v>
      </c>
      <c r="C153" s="9"/>
      <c r="D153" s="9"/>
      <c r="E153" s="10"/>
    </row>
    <row r="154" spans="1:5" x14ac:dyDescent="0.25">
      <c r="A154" t="s">
        <v>200</v>
      </c>
      <c r="B154" s="1">
        <v>15787.95</v>
      </c>
      <c r="C154" s="9"/>
      <c r="D154" s="9"/>
      <c r="E154" s="10"/>
    </row>
    <row r="155" spans="1:5" x14ac:dyDescent="0.25">
      <c r="A155" t="s">
        <v>268</v>
      </c>
      <c r="B155" s="1">
        <v>15177.960000000001</v>
      </c>
      <c r="C155" s="9"/>
      <c r="D155" s="9"/>
      <c r="E155" s="10"/>
    </row>
    <row r="156" spans="1:5" x14ac:dyDescent="0.25">
      <c r="A156" t="s">
        <v>45</v>
      </c>
      <c r="B156" s="1">
        <v>14885.900000000001</v>
      </c>
      <c r="C156" s="9"/>
      <c r="D156" s="9"/>
      <c r="E156" s="10"/>
    </row>
    <row r="157" spans="1:5" x14ac:dyDescent="0.25">
      <c r="A157" t="s">
        <v>36</v>
      </c>
      <c r="B157" s="1">
        <v>14740.630000000001</v>
      </c>
      <c r="C157" s="9"/>
      <c r="D157" s="9"/>
      <c r="E157" s="10"/>
    </row>
    <row r="158" spans="1:5" x14ac:dyDescent="0.25">
      <c r="A158" t="s">
        <v>67</v>
      </c>
      <c r="B158" s="1">
        <v>14088.08</v>
      </c>
      <c r="C158" s="9"/>
      <c r="D158" s="9"/>
      <c r="E158" s="10"/>
    </row>
    <row r="159" spans="1:5" x14ac:dyDescent="0.25">
      <c r="A159" t="s">
        <v>277</v>
      </c>
      <c r="B159" s="1">
        <v>13530.94</v>
      </c>
      <c r="C159" s="9"/>
      <c r="D159" s="9"/>
      <c r="E159" s="10"/>
    </row>
    <row r="160" spans="1:5" x14ac:dyDescent="0.25">
      <c r="A160" t="s">
        <v>134</v>
      </c>
      <c r="B160" s="1">
        <v>13323.490000000002</v>
      </c>
      <c r="C160" s="9"/>
      <c r="D160" s="9"/>
      <c r="E160" s="10"/>
    </row>
    <row r="161" spans="1:5" x14ac:dyDescent="0.25">
      <c r="A161" t="s">
        <v>248</v>
      </c>
      <c r="B161" s="1">
        <v>13099.37</v>
      </c>
      <c r="C161" s="9"/>
      <c r="D161" s="9"/>
      <c r="E161" s="10"/>
    </row>
    <row r="162" spans="1:5" x14ac:dyDescent="0.25">
      <c r="A162" t="s">
        <v>168</v>
      </c>
      <c r="B162" s="1">
        <v>13002.31</v>
      </c>
      <c r="C162" s="9"/>
      <c r="D162" s="9"/>
      <c r="E162" s="10"/>
    </row>
    <row r="163" spans="1:5" x14ac:dyDescent="0.25">
      <c r="A163" t="s">
        <v>247</v>
      </c>
      <c r="B163" s="1">
        <v>12383.08</v>
      </c>
      <c r="C163" s="9"/>
      <c r="D163" s="9"/>
      <c r="E163" s="10"/>
    </row>
    <row r="164" spans="1:5" x14ac:dyDescent="0.25">
      <c r="A164" t="s">
        <v>129</v>
      </c>
      <c r="B164" s="1">
        <v>11292.14</v>
      </c>
      <c r="C164" s="9"/>
      <c r="D164" s="9"/>
      <c r="E164" s="10"/>
    </row>
    <row r="165" spans="1:5" x14ac:dyDescent="0.25">
      <c r="A165" t="s">
        <v>221</v>
      </c>
      <c r="B165" s="1">
        <v>11150.48</v>
      </c>
      <c r="C165" s="9"/>
      <c r="D165" s="9"/>
      <c r="E165" s="10"/>
    </row>
    <row r="166" spans="1:5" x14ac:dyDescent="0.25">
      <c r="A166" t="s">
        <v>107</v>
      </c>
      <c r="B166" s="1">
        <v>10792.989999999998</v>
      </c>
      <c r="C166" s="9"/>
      <c r="D166" s="9"/>
      <c r="E166" s="10"/>
    </row>
    <row r="167" spans="1:5" x14ac:dyDescent="0.25">
      <c r="A167" t="s">
        <v>52</v>
      </c>
      <c r="B167" s="1">
        <v>10225.890000000001</v>
      </c>
      <c r="C167" s="9"/>
      <c r="D167" s="9"/>
      <c r="E167" s="10"/>
    </row>
    <row r="168" spans="1:5" x14ac:dyDescent="0.25">
      <c r="A168" t="s">
        <v>174</v>
      </c>
      <c r="B168" s="1">
        <v>9026.57</v>
      </c>
      <c r="C168" s="9"/>
      <c r="D168" s="9"/>
      <c r="E168" s="10"/>
    </row>
    <row r="169" spans="1:5" x14ac:dyDescent="0.25">
      <c r="A169" t="s">
        <v>73</v>
      </c>
      <c r="B169" s="1">
        <v>9012.35</v>
      </c>
      <c r="C169" s="9"/>
      <c r="D169" s="9"/>
      <c r="E169" s="10"/>
    </row>
    <row r="170" spans="1:5" x14ac:dyDescent="0.25">
      <c r="A170" t="s">
        <v>224</v>
      </c>
      <c r="B170" s="1">
        <v>8897.01</v>
      </c>
      <c r="C170" s="9"/>
      <c r="D170" s="9"/>
      <c r="E170" s="10"/>
    </row>
    <row r="171" spans="1:5" x14ac:dyDescent="0.25">
      <c r="A171" t="s">
        <v>128</v>
      </c>
      <c r="B171" s="1">
        <v>8254.9699999999993</v>
      </c>
      <c r="C171" s="9"/>
      <c r="D171" s="9"/>
      <c r="E171" s="10"/>
    </row>
    <row r="172" spans="1:5" x14ac:dyDescent="0.25">
      <c r="A172" t="s">
        <v>216</v>
      </c>
      <c r="B172" s="1">
        <v>7660.75</v>
      </c>
      <c r="C172" s="9"/>
      <c r="D172" s="9"/>
      <c r="E172" s="10"/>
    </row>
    <row r="173" spans="1:5" x14ac:dyDescent="0.25">
      <c r="A173" t="s">
        <v>142</v>
      </c>
      <c r="B173" s="1">
        <v>6929.8899999999994</v>
      </c>
      <c r="C173" s="9"/>
      <c r="D173" s="9"/>
      <c r="E173" s="10"/>
    </row>
    <row r="174" spans="1:5" x14ac:dyDescent="0.25">
      <c r="A174" t="s">
        <v>82</v>
      </c>
      <c r="B174" s="1">
        <v>6834.71</v>
      </c>
      <c r="C174" s="9"/>
      <c r="D174" s="9"/>
      <c r="E174" s="10"/>
    </row>
    <row r="175" spans="1:5" x14ac:dyDescent="0.25">
      <c r="A175" t="s">
        <v>205</v>
      </c>
      <c r="B175" s="1">
        <v>6795.3000000000011</v>
      </c>
      <c r="C175" s="9"/>
      <c r="D175" s="9"/>
      <c r="E175" s="10"/>
    </row>
    <row r="176" spans="1:5" x14ac:dyDescent="0.25">
      <c r="A176" t="s">
        <v>99</v>
      </c>
      <c r="B176" s="1">
        <v>6595.59</v>
      </c>
      <c r="C176" s="9"/>
      <c r="D176" s="9"/>
      <c r="E176" s="10"/>
    </row>
    <row r="177" spans="1:5" x14ac:dyDescent="0.25">
      <c r="A177" t="s">
        <v>61</v>
      </c>
      <c r="B177" s="1">
        <v>6385.33</v>
      </c>
      <c r="C177" s="9"/>
      <c r="D177" s="9"/>
      <c r="E177" s="10"/>
    </row>
    <row r="178" spans="1:5" x14ac:dyDescent="0.25">
      <c r="A178" t="s">
        <v>242</v>
      </c>
      <c r="B178" s="1">
        <v>6255.68</v>
      </c>
      <c r="C178" s="9"/>
      <c r="D178" s="9"/>
      <c r="E178" s="10"/>
    </row>
    <row r="179" spans="1:5" x14ac:dyDescent="0.25">
      <c r="A179" t="s">
        <v>210</v>
      </c>
      <c r="B179" s="1">
        <v>5811.75</v>
      </c>
      <c r="C179" s="9"/>
      <c r="D179" s="9"/>
      <c r="E179" s="10"/>
    </row>
    <row r="180" spans="1:5" x14ac:dyDescent="0.25">
      <c r="A180" t="s">
        <v>132</v>
      </c>
      <c r="B180" s="1">
        <v>5758.64</v>
      </c>
      <c r="C180" s="9"/>
      <c r="D180" s="9"/>
      <c r="E180" s="10"/>
    </row>
    <row r="181" spans="1:5" x14ac:dyDescent="0.25">
      <c r="A181" t="s">
        <v>230</v>
      </c>
      <c r="B181" s="1">
        <v>5744.42</v>
      </c>
      <c r="C181" s="9"/>
      <c r="D181" s="9"/>
      <c r="E181" s="10"/>
    </row>
    <row r="182" spans="1:5" x14ac:dyDescent="0.25">
      <c r="A182" t="s">
        <v>79</v>
      </c>
      <c r="B182" s="1">
        <v>5546.2</v>
      </c>
      <c r="C182" s="9"/>
      <c r="D182" s="9"/>
      <c r="E182" s="10"/>
    </row>
    <row r="183" spans="1:5" x14ac:dyDescent="0.25">
      <c r="A183" t="s">
        <v>215</v>
      </c>
      <c r="B183" s="1">
        <v>5150.92</v>
      </c>
      <c r="C183" s="9"/>
      <c r="D183" s="9"/>
      <c r="E183" s="10"/>
    </row>
    <row r="184" spans="1:5" x14ac:dyDescent="0.25">
      <c r="A184" t="s">
        <v>69</v>
      </c>
      <c r="B184" s="1">
        <v>5064.04</v>
      </c>
      <c r="C184" s="9"/>
      <c r="D184" s="9"/>
      <c r="E184" s="10"/>
    </row>
    <row r="185" spans="1:5" x14ac:dyDescent="0.25">
      <c r="A185" t="s">
        <v>184</v>
      </c>
      <c r="B185" s="1">
        <v>5050</v>
      </c>
      <c r="C185" s="9"/>
      <c r="D185" s="9"/>
      <c r="E185" s="10"/>
    </row>
    <row r="186" spans="1:5" x14ac:dyDescent="0.25">
      <c r="A186" t="s">
        <v>282</v>
      </c>
      <c r="B186" s="1">
        <v>4806.74</v>
      </c>
      <c r="C186" s="9"/>
      <c r="D186" s="9"/>
      <c r="E186" s="10"/>
    </row>
    <row r="187" spans="1:5" x14ac:dyDescent="0.25">
      <c r="A187" t="s">
        <v>115</v>
      </c>
      <c r="B187" s="1">
        <v>4796.3899999999994</v>
      </c>
      <c r="C187" s="9"/>
      <c r="D187" s="9"/>
      <c r="E187" s="10"/>
    </row>
    <row r="188" spans="1:5" x14ac:dyDescent="0.25">
      <c r="A188" t="s">
        <v>202</v>
      </c>
      <c r="B188" s="1">
        <v>4782.46</v>
      </c>
      <c r="C188" s="9"/>
      <c r="D188" s="9"/>
      <c r="E188" s="10"/>
    </row>
    <row r="189" spans="1:5" x14ac:dyDescent="0.25">
      <c r="A189" t="s">
        <v>276</v>
      </c>
      <c r="B189" s="1">
        <v>4355.63</v>
      </c>
      <c r="C189" s="9"/>
      <c r="D189" s="9"/>
      <c r="E189" s="10"/>
    </row>
    <row r="190" spans="1:5" x14ac:dyDescent="0.25">
      <c r="A190" t="s">
        <v>98</v>
      </c>
      <c r="B190" s="1">
        <v>4268.76</v>
      </c>
      <c r="C190" s="9"/>
      <c r="D190" s="9"/>
      <c r="E190" s="10"/>
    </row>
    <row r="191" spans="1:5" x14ac:dyDescent="0.25">
      <c r="A191" t="s">
        <v>158</v>
      </c>
      <c r="B191" s="1">
        <v>4208.82</v>
      </c>
      <c r="C191" s="9"/>
      <c r="D191" s="9"/>
      <c r="E191" s="10"/>
    </row>
    <row r="192" spans="1:5" x14ac:dyDescent="0.25">
      <c r="A192" t="s">
        <v>53</v>
      </c>
      <c r="B192" s="1">
        <v>4146.84</v>
      </c>
      <c r="C192" s="9"/>
      <c r="D192" s="9"/>
      <c r="E192" s="10"/>
    </row>
    <row r="193" spans="1:5" x14ac:dyDescent="0.25">
      <c r="A193" t="s">
        <v>198</v>
      </c>
      <c r="B193" s="1">
        <v>4019.27</v>
      </c>
      <c r="C193" s="9"/>
      <c r="D193" s="9"/>
      <c r="E193" s="10"/>
    </row>
    <row r="194" spans="1:5" x14ac:dyDescent="0.25">
      <c r="A194" t="s">
        <v>130</v>
      </c>
      <c r="B194" s="1">
        <v>3926.42</v>
      </c>
      <c r="C194" s="9"/>
      <c r="D194" s="9"/>
      <c r="E194" s="10"/>
    </row>
    <row r="195" spans="1:5" x14ac:dyDescent="0.25">
      <c r="A195" t="s">
        <v>170</v>
      </c>
      <c r="B195" s="1">
        <v>3790.4399999999996</v>
      </c>
      <c r="C195" s="9"/>
      <c r="D195" s="9"/>
      <c r="E195" s="10"/>
    </row>
    <row r="196" spans="1:5" x14ac:dyDescent="0.25">
      <c r="A196" t="s">
        <v>207</v>
      </c>
      <c r="B196" s="1">
        <v>3332.8900000000003</v>
      </c>
      <c r="C196" s="9"/>
      <c r="D196" s="9"/>
      <c r="E196" s="10"/>
    </row>
    <row r="197" spans="1:5" x14ac:dyDescent="0.25">
      <c r="A197" t="s">
        <v>241</v>
      </c>
      <c r="B197" s="1">
        <v>3002.39</v>
      </c>
      <c r="C197" s="9"/>
      <c r="D197" s="9"/>
      <c r="E197" s="10"/>
    </row>
    <row r="198" spans="1:5" x14ac:dyDescent="0.25">
      <c r="A198" t="s">
        <v>160</v>
      </c>
      <c r="B198" s="1">
        <v>2974.4</v>
      </c>
      <c r="C198" s="9"/>
      <c r="D198" s="9"/>
      <c r="E198" s="10"/>
    </row>
    <row r="199" spans="1:5" x14ac:dyDescent="0.25">
      <c r="A199" t="s">
        <v>44</v>
      </c>
      <c r="B199" s="1">
        <v>2832.84</v>
      </c>
      <c r="C199" s="9"/>
      <c r="D199" s="9"/>
      <c r="E199" s="10"/>
    </row>
    <row r="200" spans="1:5" x14ac:dyDescent="0.25">
      <c r="A200" t="s">
        <v>214</v>
      </c>
      <c r="B200" s="1">
        <v>2828.97</v>
      </c>
      <c r="C200" s="9"/>
      <c r="D200" s="9"/>
      <c r="E200" s="10"/>
    </row>
    <row r="201" spans="1:5" x14ac:dyDescent="0.25">
      <c r="A201" t="s">
        <v>195</v>
      </c>
      <c r="B201" s="1">
        <v>2743.4700000000003</v>
      </c>
      <c r="C201" s="9"/>
      <c r="D201" s="9"/>
      <c r="E201" s="10"/>
    </row>
    <row r="202" spans="1:5" x14ac:dyDescent="0.25">
      <c r="A202" t="s">
        <v>278</v>
      </c>
      <c r="B202" s="1">
        <v>2694.6499999999996</v>
      </c>
      <c r="C202" s="9"/>
      <c r="D202" s="9"/>
      <c r="E202" s="10"/>
    </row>
    <row r="203" spans="1:5" x14ac:dyDescent="0.25">
      <c r="A203" t="s">
        <v>177</v>
      </c>
      <c r="B203" s="1">
        <v>2648</v>
      </c>
      <c r="C203" s="9"/>
      <c r="D203" s="9"/>
      <c r="E203" s="10"/>
    </row>
    <row r="204" spans="1:5" x14ac:dyDescent="0.25">
      <c r="A204" t="s">
        <v>226</v>
      </c>
      <c r="B204" s="1">
        <v>2643.93</v>
      </c>
      <c r="C204" s="9"/>
      <c r="D204" s="9"/>
      <c r="E204" s="10"/>
    </row>
    <row r="205" spans="1:5" x14ac:dyDescent="0.25">
      <c r="A205" t="s">
        <v>251</v>
      </c>
      <c r="B205" s="1">
        <v>2635.73</v>
      </c>
      <c r="C205" s="9"/>
      <c r="D205" s="9"/>
      <c r="E205" s="10"/>
    </row>
    <row r="206" spans="1:5" x14ac:dyDescent="0.25">
      <c r="A206" t="s">
        <v>194</v>
      </c>
      <c r="B206" s="1">
        <v>2634.01</v>
      </c>
      <c r="C206" s="9"/>
      <c r="D206" s="9"/>
      <c r="E206" s="10"/>
    </row>
    <row r="207" spans="1:5" x14ac:dyDescent="0.25">
      <c r="A207" t="s">
        <v>68</v>
      </c>
      <c r="B207" s="1">
        <v>2593.8500000000004</v>
      </c>
      <c r="C207" s="9"/>
      <c r="D207" s="9"/>
      <c r="E207" s="10"/>
    </row>
    <row r="208" spans="1:5" x14ac:dyDescent="0.25">
      <c r="A208" t="s">
        <v>256</v>
      </c>
      <c r="B208" s="1">
        <v>2502.42</v>
      </c>
      <c r="C208" s="9"/>
      <c r="D208" s="9"/>
      <c r="E208" s="10"/>
    </row>
    <row r="209" spans="1:5" x14ac:dyDescent="0.25">
      <c r="A209" t="s">
        <v>159</v>
      </c>
      <c r="B209" s="1">
        <v>2381.1000000000004</v>
      </c>
      <c r="C209" s="9"/>
      <c r="D209" s="9"/>
      <c r="E209" s="10"/>
    </row>
    <row r="210" spans="1:5" x14ac:dyDescent="0.25">
      <c r="A210" t="s">
        <v>104</v>
      </c>
      <c r="B210" s="1">
        <v>2304.04</v>
      </c>
      <c r="C210" s="9"/>
      <c r="D210" s="9"/>
      <c r="E210" s="10"/>
    </row>
    <row r="211" spans="1:5" x14ac:dyDescent="0.25">
      <c r="A211" t="s">
        <v>265</v>
      </c>
      <c r="B211" s="1">
        <v>2172.11</v>
      </c>
      <c r="C211" s="9"/>
      <c r="D211" s="9"/>
      <c r="E211" s="10"/>
    </row>
    <row r="212" spans="1:5" x14ac:dyDescent="0.25">
      <c r="A212" t="s">
        <v>37</v>
      </c>
      <c r="B212" s="1">
        <v>2169.84</v>
      </c>
      <c r="C212" s="9"/>
      <c r="D212" s="9"/>
      <c r="E212" s="10"/>
    </row>
    <row r="213" spans="1:5" x14ac:dyDescent="0.25">
      <c r="A213" t="s">
        <v>65</v>
      </c>
      <c r="B213" s="1">
        <v>2052.08</v>
      </c>
      <c r="C213" s="9"/>
      <c r="D213" s="9"/>
      <c r="E213" s="10"/>
    </row>
    <row r="214" spans="1:5" x14ac:dyDescent="0.25">
      <c r="A214" t="s">
        <v>203</v>
      </c>
      <c r="B214" s="1">
        <v>1977.16</v>
      </c>
      <c r="C214" s="9"/>
      <c r="D214" s="9"/>
      <c r="E214" s="10"/>
    </row>
    <row r="215" spans="1:5" x14ac:dyDescent="0.25">
      <c r="A215" t="s">
        <v>201</v>
      </c>
      <c r="B215" s="1">
        <v>1670.38</v>
      </c>
      <c r="C215" s="9"/>
      <c r="D215" s="9"/>
      <c r="E215" s="10"/>
    </row>
    <row r="216" spans="1:5" x14ac:dyDescent="0.25">
      <c r="A216" t="s">
        <v>92</v>
      </c>
      <c r="B216" s="1">
        <v>1623.7500000000002</v>
      </c>
      <c r="C216" s="9"/>
      <c r="D216" s="9"/>
      <c r="E216" s="10"/>
    </row>
    <row r="217" spans="1:5" x14ac:dyDescent="0.25">
      <c r="A217" t="s">
        <v>154</v>
      </c>
      <c r="B217" s="1">
        <v>1165.2099999999998</v>
      </c>
      <c r="C217" s="9"/>
      <c r="D217" s="9"/>
      <c r="E217" s="10"/>
    </row>
    <row r="218" spans="1:5" x14ac:dyDescent="0.25">
      <c r="A218" t="s">
        <v>155</v>
      </c>
      <c r="B218" s="1">
        <v>1027.25</v>
      </c>
      <c r="C218" s="9"/>
      <c r="D218" s="9"/>
      <c r="E218" s="10"/>
    </row>
    <row r="219" spans="1:5" x14ac:dyDescent="0.25">
      <c r="A219" t="s">
        <v>66</v>
      </c>
      <c r="B219" s="1">
        <v>980.76</v>
      </c>
      <c r="C219" s="9"/>
      <c r="D219" s="9"/>
      <c r="E219" s="10"/>
    </row>
    <row r="220" spans="1:5" x14ac:dyDescent="0.25">
      <c r="A220" t="s">
        <v>271</v>
      </c>
      <c r="B220" s="1">
        <v>976.47</v>
      </c>
      <c r="C220" s="9"/>
      <c r="D220" s="9"/>
      <c r="E220" s="10"/>
    </row>
    <row r="221" spans="1:5" x14ac:dyDescent="0.25">
      <c r="A221" t="s">
        <v>133</v>
      </c>
      <c r="B221" s="1">
        <v>915.36</v>
      </c>
      <c r="C221" s="9"/>
      <c r="D221" s="9"/>
      <c r="E221" s="10"/>
    </row>
    <row r="222" spans="1:5" x14ac:dyDescent="0.25">
      <c r="A222" t="s">
        <v>285</v>
      </c>
      <c r="B222" s="1">
        <v>865.23</v>
      </c>
      <c r="C222" s="9"/>
      <c r="D222" s="9"/>
      <c r="E222" s="10"/>
    </row>
    <row r="223" spans="1:5" x14ac:dyDescent="0.25">
      <c r="A223" t="s">
        <v>236</v>
      </c>
      <c r="B223" s="1">
        <v>835.23</v>
      </c>
      <c r="C223" s="9"/>
      <c r="D223" s="9"/>
      <c r="E223" s="10"/>
    </row>
    <row r="224" spans="1:5" x14ac:dyDescent="0.25">
      <c r="A224" t="s">
        <v>264</v>
      </c>
      <c r="B224" s="1">
        <v>652.08999999999992</v>
      </c>
      <c r="C224" s="9"/>
      <c r="D224" s="9"/>
      <c r="E224" s="10"/>
    </row>
    <row r="225" spans="1:5" x14ac:dyDescent="0.25">
      <c r="A225" t="s">
        <v>186</v>
      </c>
      <c r="B225" s="1">
        <v>366.14</v>
      </c>
      <c r="C225" s="9"/>
      <c r="D225" s="9"/>
      <c r="E225" s="10"/>
    </row>
    <row r="226" spans="1:5" x14ac:dyDescent="0.25">
      <c r="A226" t="s">
        <v>225</v>
      </c>
      <c r="B226" s="1">
        <v>279.35000000000002</v>
      </c>
      <c r="C226" s="9"/>
      <c r="D226" s="9"/>
      <c r="E226" s="10"/>
    </row>
    <row r="227" spans="1:5" x14ac:dyDescent="0.25">
      <c r="A227" t="s">
        <v>157</v>
      </c>
      <c r="B227" s="1">
        <v>132.32</v>
      </c>
      <c r="C227" s="9"/>
      <c r="D227" s="9"/>
      <c r="E227" s="10"/>
    </row>
    <row r="228" spans="1:5" x14ac:dyDescent="0.25">
      <c r="A228" t="s">
        <v>217</v>
      </c>
      <c r="B228" s="1">
        <v>108.33999999999999</v>
      </c>
      <c r="C228" s="9"/>
      <c r="D228" s="9"/>
      <c r="E228" s="10"/>
    </row>
    <row r="229" spans="1:5" x14ac:dyDescent="0.25">
      <c r="A229" t="s">
        <v>88</v>
      </c>
      <c r="B229" s="1">
        <v>103.8</v>
      </c>
      <c r="C229" s="9"/>
      <c r="D229" s="9"/>
      <c r="E229" s="10"/>
    </row>
    <row r="230" spans="1:5" x14ac:dyDescent="0.25">
      <c r="A230" t="s">
        <v>91</v>
      </c>
      <c r="B230" s="1">
        <v>95.66</v>
      </c>
      <c r="C230" s="9"/>
      <c r="D230" s="9"/>
      <c r="E230" s="10"/>
    </row>
    <row r="231" spans="1:5" x14ac:dyDescent="0.25">
      <c r="A231" t="s">
        <v>166</v>
      </c>
      <c r="B231" s="1">
        <v>83.949999999999989</v>
      </c>
      <c r="C231" s="9"/>
      <c r="D231" s="9"/>
      <c r="E231" s="10"/>
    </row>
    <row r="232" spans="1:5" x14ac:dyDescent="0.25">
      <c r="A232" t="s">
        <v>85</v>
      </c>
      <c r="B232" s="1">
        <v>67.38</v>
      </c>
      <c r="C232" s="9"/>
      <c r="D232" s="9"/>
      <c r="E232" s="10"/>
    </row>
    <row r="233" spans="1:5" x14ac:dyDescent="0.25">
      <c r="A233" t="s">
        <v>199</v>
      </c>
      <c r="B233" s="1">
        <v>60</v>
      </c>
      <c r="C233" s="9"/>
      <c r="D233" s="9"/>
      <c r="E233" s="10"/>
    </row>
    <row r="234" spans="1:5" x14ac:dyDescent="0.25">
      <c r="A234" t="s">
        <v>71</v>
      </c>
      <c r="B234" s="1">
        <v>56.540000000000006</v>
      </c>
      <c r="C234" s="9"/>
      <c r="D234" s="9"/>
      <c r="E234" s="10"/>
    </row>
    <row r="235" spans="1:5" x14ac:dyDescent="0.25">
      <c r="A235" t="s">
        <v>165</v>
      </c>
      <c r="B235" s="1">
        <v>53.86</v>
      </c>
      <c r="C235" s="9"/>
      <c r="D235" s="9"/>
      <c r="E235" s="10"/>
    </row>
    <row r="236" spans="1:5" x14ac:dyDescent="0.25">
      <c r="A236" t="s">
        <v>40</v>
      </c>
      <c r="B236" s="1">
        <v>37.590000000000003</v>
      </c>
      <c r="C236" s="9"/>
      <c r="D236" s="9"/>
      <c r="E236" s="10"/>
    </row>
    <row r="237" spans="1:5" x14ac:dyDescent="0.25">
      <c r="A237" t="s">
        <v>150</v>
      </c>
      <c r="B237" s="1">
        <v>33.33</v>
      </c>
      <c r="C237" s="9"/>
      <c r="D237" s="9"/>
      <c r="E237" s="10"/>
    </row>
    <row r="238" spans="1:5" x14ac:dyDescent="0.25">
      <c r="A238" t="s">
        <v>244</v>
      </c>
      <c r="B238" s="1">
        <v>30.789999999999996</v>
      </c>
      <c r="C238" s="9"/>
      <c r="D238" s="9"/>
      <c r="E238" s="10"/>
    </row>
    <row r="239" spans="1:5" x14ac:dyDescent="0.25">
      <c r="A239" t="s">
        <v>231</v>
      </c>
      <c r="B239" s="1">
        <v>18</v>
      </c>
      <c r="C239" s="9"/>
      <c r="D239" s="9"/>
      <c r="E239" s="10"/>
    </row>
    <row r="240" spans="1:5" x14ac:dyDescent="0.25">
      <c r="A240" t="s">
        <v>63</v>
      </c>
      <c r="B240" s="1">
        <v>8.99</v>
      </c>
      <c r="C240" s="9"/>
      <c r="D240" s="9"/>
      <c r="E240" s="10"/>
    </row>
    <row r="241" spans="1:5" x14ac:dyDescent="0.25">
      <c r="A241" t="s">
        <v>279</v>
      </c>
      <c r="B241" s="1">
        <v>4.8899999999999997</v>
      </c>
      <c r="C241" s="9"/>
      <c r="D241" s="9"/>
      <c r="E241" s="10"/>
    </row>
  </sheetData>
  <sortState xmlns:xlrd2="http://schemas.microsoft.com/office/spreadsheetml/2017/richdata2" ref="A2:B246">
    <sortCondition descending="1" ref="B2:B246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C9DB4-03DD-4108-A711-15770AE6D264}">
  <dimension ref="A1:X54"/>
  <sheetViews>
    <sheetView showGridLines="0" tabSelected="1" zoomScale="66" zoomScaleNormal="66" workbookViewId="0">
      <selection activeCell="X41" sqref="X41"/>
    </sheetView>
  </sheetViews>
  <sheetFormatPr defaultRowHeight="15" x14ac:dyDescent="0.25"/>
  <cols>
    <col min="1" max="1" width="9.28515625" customWidth="1"/>
    <col min="2" max="3" width="9.140625" customWidth="1"/>
    <col min="8" max="8" width="1.5703125" customWidth="1"/>
    <col min="15" max="15" width="1.42578125" customWidth="1"/>
    <col min="16" max="16" width="9.140625" customWidth="1"/>
    <col min="21" max="21" width="9.140625" customWidth="1"/>
  </cols>
  <sheetData>
    <row r="1" spans="1:24" ht="15" customHeight="1" x14ac:dyDescent="0.45">
      <c r="A1" s="19" t="s">
        <v>330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8"/>
      <c r="W1" s="28"/>
      <c r="X1" s="28"/>
    </row>
    <row r="2" spans="1:24" ht="15" customHeight="1" x14ac:dyDescent="0.4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28"/>
      <c r="W2" s="28"/>
      <c r="X2" s="28"/>
    </row>
    <row r="3" spans="1:24" ht="15" customHeight="1" x14ac:dyDescent="0.25">
      <c r="A3" s="25"/>
      <c r="B3" s="26"/>
      <c r="C3" s="27"/>
      <c r="D3" s="27"/>
    </row>
    <row r="4" spans="1:24" ht="15" customHeight="1" x14ac:dyDescent="0.25">
      <c r="A4" s="25"/>
    </row>
    <row r="5" spans="1:24" ht="15" customHeight="1" x14ac:dyDescent="0.25">
      <c r="A5" s="25"/>
      <c r="C5" s="21" t="s">
        <v>346</v>
      </c>
      <c r="D5" s="21"/>
      <c r="E5" s="21"/>
      <c r="F5" s="21"/>
      <c r="J5" s="21" t="s">
        <v>350</v>
      </c>
      <c r="K5" s="21"/>
      <c r="L5" s="21"/>
      <c r="M5" s="21"/>
      <c r="Q5" s="31">
        <v>-0.79</v>
      </c>
      <c r="R5" s="31"/>
      <c r="S5" s="31"/>
      <c r="T5" s="31"/>
    </row>
    <row r="6" spans="1:24" ht="15" customHeight="1" x14ac:dyDescent="0.25">
      <c r="A6" s="25"/>
      <c r="C6" s="21"/>
      <c r="D6" s="21"/>
      <c r="E6" s="21"/>
      <c r="F6" s="21"/>
      <c r="J6" s="21"/>
      <c r="K6" s="21"/>
      <c r="L6" s="21"/>
      <c r="M6" s="21"/>
      <c r="Q6" s="31"/>
      <c r="R6" s="31"/>
      <c r="S6" s="31"/>
      <c r="T6" s="31"/>
    </row>
    <row r="7" spans="1:24" ht="15" customHeight="1" x14ac:dyDescent="0.25">
      <c r="A7" s="25"/>
      <c r="C7" s="21"/>
      <c r="D7" s="21"/>
      <c r="E7" s="21"/>
      <c r="F7" s="21"/>
      <c r="J7" s="21"/>
      <c r="K7" s="21"/>
      <c r="L7" s="21"/>
      <c r="M7" s="21"/>
      <c r="Q7" s="31"/>
      <c r="R7" s="31"/>
      <c r="S7" s="31"/>
      <c r="T7" s="31"/>
    </row>
    <row r="8" spans="1:24" x14ac:dyDescent="0.25">
      <c r="A8" s="27"/>
      <c r="C8" s="22"/>
      <c r="D8" s="22"/>
      <c r="E8" s="22"/>
      <c r="F8" s="22"/>
      <c r="J8" s="22"/>
      <c r="K8" s="22"/>
      <c r="L8" s="22"/>
      <c r="M8" s="22"/>
      <c r="Q8" s="22"/>
      <c r="R8" s="22"/>
      <c r="S8" s="22"/>
      <c r="T8" s="22"/>
    </row>
    <row r="9" spans="1:24" x14ac:dyDescent="0.25">
      <c r="A9" s="27"/>
      <c r="C9" s="23" t="s">
        <v>348</v>
      </c>
      <c r="D9" s="23"/>
      <c r="E9" s="23"/>
      <c r="F9" s="23"/>
      <c r="J9" s="23" t="s">
        <v>349</v>
      </c>
      <c r="K9" s="23"/>
      <c r="L9" s="23"/>
      <c r="M9" s="23"/>
      <c r="Q9" s="23" t="s">
        <v>351</v>
      </c>
      <c r="R9" s="23"/>
      <c r="S9" s="23"/>
      <c r="T9" s="23"/>
    </row>
    <row r="10" spans="1:24" x14ac:dyDescent="0.25">
      <c r="A10" s="5"/>
      <c r="C10" s="23"/>
      <c r="D10" s="23"/>
      <c r="E10" s="23"/>
      <c r="F10" s="23"/>
      <c r="J10" s="23"/>
      <c r="K10" s="23"/>
      <c r="L10" s="23"/>
      <c r="M10" s="23"/>
      <c r="Q10" s="23"/>
      <c r="R10" s="23"/>
      <c r="S10" s="23"/>
      <c r="T10" s="23"/>
    </row>
    <row r="11" spans="1:24" ht="15" customHeight="1" x14ac:dyDescent="0.25">
      <c r="C11" s="23"/>
      <c r="D11" s="23"/>
      <c r="E11" s="23"/>
      <c r="F11" s="23"/>
      <c r="J11" s="23"/>
      <c r="K11" s="23"/>
      <c r="L11" s="23"/>
      <c r="M11" s="23"/>
      <c r="Q11" s="30"/>
      <c r="R11" s="23"/>
      <c r="S11" s="23"/>
      <c r="T11" s="23"/>
    </row>
    <row r="33" spans="2:21" ht="15" customHeight="1" x14ac:dyDescent="0.25">
      <c r="B33" s="21" t="s">
        <v>353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 spans="2:21" ht="15" customHeight="1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 spans="2:21" ht="15" customHeight="1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 spans="2:21" ht="15" customHeight="1" x14ac:dyDescent="0.25">
      <c r="B36" s="33" t="s">
        <v>357</v>
      </c>
      <c r="C36" s="32"/>
      <c r="D36" s="32"/>
      <c r="E36" s="32"/>
      <c r="F36" s="32"/>
      <c r="G36" s="32"/>
      <c r="H36" s="24"/>
      <c r="I36" s="33" t="s">
        <v>355</v>
      </c>
      <c r="J36" s="33"/>
      <c r="K36" s="33"/>
      <c r="L36" s="33"/>
      <c r="M36" s="33"/>
      <c r="N36" s="33"/>
      <c r="O36" s="24"/>
      <c r="P36" s="33" t="s">
        <v>358</v>
      </c>
      <c r="Q36" s="33"/>
      <c r="R36" s="33"/>
      <c r="S36" s="33"/>
      <c r="T36" s="33"/>
      <c r="U36" s="33"/>
    </row>
    <row r="37" spans="2:21" ht="15" customHeight="1" x14ac:dyDescent="0.25">
      <c r="B37" s="32"/>
      <c r="C37" s="32"/>
      <c r="D37" s="32"/>
      <c r="E37" s="32"/>
      <c r="F37" s="32"/>
      <c r="G37" s="32"/>
      <c r="H37" s="24"/>
      <c r="I37" s="33"/>
      <c r="J37" s="33"/>
      <c r="K37" s="33"/>
      <c r="L37" s="33"/>
      <c r="M37" s="33"/>
      <c r="N37" s="33"/>
      <c r="O37" s="24"/>
      <c r="P37" s="33"/>
      <c r="Q37" s="33"/>
      <c r="R37" s="33"/>
      <c r="S37" s="33"/>
      <c r="T37" s="33"/>
      <c r="U37" s="33"/>
    </row>
    <row r="38" spans="2:21" ht="15" customHeight="1" x14ac:dyDescent="0.25">
      <c r="B38" s="32"/>
      <c r="C38" s="32"/>
      <c r="D38" s="32"/>
      <c r="E38" s="32"/>
      <c r="F38" s="32"/>
      <c r="G38" s="32"/>
      <c r="H38" s="24"/>
      <c r="I38" s="33"/>
      <c r="J38" s="33"/>
      <c r="K38" s="33"/>
      <c r="L38" s="33"/>
      <c r="M38" s="33"/>
      <c r="N38" s="33"/>
      <c r="O38" s="24"/>
      <c r="P38" s="33"/>
      <c r="Q38" s="33"/>
      <c r="R38" s="33"/>
      <c r="S38" s="33"/>
      <c r="T38" s="33"/>
      <c r="U38" s="33"/>
    </row>
    <row r="39" spans="2:21" ht="15" customHeight="1" x14ac:dyDescent="0.25">
      <c r="B39" s="32"/>
      <c r="C39" s="32"/>
      <c r="D39" s="32"/>
      <c r="E39" s="32"/>
      <c r="F39" s="32"/>
      <c r="G39" s="32"/>
      <c r="H39" s="24"/>
      <c r="I39" s="33"/>
      <c r="J39" s="33"/>
      <c r="K39" s="33"/>
      <c r="L39" s="33"/>
      <c r="M39" s="33"/>
      <c r="N39" s="33"/>
      <c r="O39" s="24"/>
      <c r="P39" s="33"/>
      <c r="Q39" s="33"/>
      <c r="R39" s="33"/>
      <c r="S39" s="33"/>
      <c r="T39" s="33"/>
      <c r="U39" s="33"/>
    </row>
    <row r="40" spans="2:21" ht="15" customHeight="1" x14ac:dyDescent="0.25">
      <c r="B40" s="32"/>
      <c r="C40" s="32"/>
      <c r="D40" s="32"/>
      <c r="E40" s="32"/>
      <c r="F40" s="32"/>
      <c r="G40" s="32"/>
      <c r="H40" s="24"/>
      <c r="I40" s="33"/>
      <c r="J40" s="33"/>
      <c r="K40" s="33"/>
      <c r="L40" s="33"/>
      <c r="M40" s="33"/>
      <c r="N40" s="33"/>
      <c r="O40" s="24"/>
      <c r="P40" s="33"/>
      <c r="Q40" s="33"/>
      <c r="R40" s="33"/>
      <c r="S40" s="33"/>
      <c r="T40" s="33"/>
      <c r="U40" s="33"/>
    </row>
    <row r="41" spans="2:21" ht="15" customHeight="1" x14ac:dyDescent="0.25">
      <c r="B41" s="32"/>
      <c r="C41" s="32"/>
      <c r="D41" s="32"/>
      <c r="E41" s="32"/>
      <c r="F41" s="32"/>
      <c r="G41" s="32"/>
      <c r="H41" s="24"/>
      <c r="I41" s="33"/>
      <c r="J41" s="33"/>
      <c r="K41" s="33"/>
      <c r="L41" s="33"/>
      <c r="M41" s="33"/>
      <c r="N41" s="33"/>
      <c r="O41" s="24"/>
      <c r="P41" s="33"/>
      <c r="Q41" s="33"/>
      <c r="R41" s="33"/>
      <c r="S41" s="33"/>
      <c r="T41" s="33"/>
      <c r="U41" s="33"/>
    </row>
    <row r="42" spans="2:21" ht="15" customHeight="1" x14ac:dyDescent="0.25">
      <c r="B42" s="32"/>
      <c r="C42" s="32"/>
      <c r="D42" s="32"/>
      <c r="E42" s="32"/>
      <c r="F42" s="32"/>
      <c r="G42" s="32"/>
      <c r="H42" s="24"/>
      <c r="I42" s="33"/>
      <c r="J42" s="33"/>
      <c r="K42" s="33"/>
      <c r="L42" s="33"/>
      <c r="M42" s="33"/>
      <c r="N42" s="33"/>
      <c r="O42" s="24"/>
      <c r="P42" s="33"/>
      <c r="Q42" s="33"/>
      <c r="R42" s="33"/>
      <c r="S42" s="33"/>
      <c r="T42" s="33"/>
      <c r="U42" s="33"/>
    </row>
    <row r="43" spans="2:21" ht="15" customHeight="1" x14ac:dyDescent="0.25">
      <c r="B43" s="32"/>
      <c r="C43" s="32"/>
      <c r="D43" s="32"/>
      <c r="E43" s="32"/>
      <c r="F43" s="32"/>
      <c r="G43" s="32"/>
      <c r="H43" s="24"/>
      <c r="I43" s="33"/>
      <c r="J43" s="33"/>
      <c r="K43" s="33"/>
      <c r="L43" s="33"/>
      <c r="M43" s="33"/>
      <c r="N43" s="33"/>
      <c r="O43" s="24"/>
      <c r="P43" s="33"/>
      <c r="Q43" s="33"/>
      <c r="R43" s="33"/>
      <c r="S43" s="33"/>
      <c r="T43" s="33"/>
      <c r="U43" s="33"/>
    </row>
    <row r="44" spans="2:21" ht="15" customHeight="1" x14ac:dyDescent="0.25">
      <c r="B44" s="32"/>
      <c r="C44" s="32"/>
      <c r="D44" s="32"/>
      <c r="E44" s="32"/>
      <c r="F44" s="32"/>
      <c r="G44" s="32"/>
      <c r="H44" s="24"/>
      <c r="I44" s="33"/>
      <c r="J44" s="33"/>
      <c r="K44" s="33"/>
      <c r="L44" s="33"/>
      <c r="M44" s="33"/>
      <c r="N44" s="33"/>
      <c r="O44" s="24"/>
      <c r="P44" s="33"/>
      <c r="Q44" s="33"/>
      <c r="R44" s="33"/>
      <c r="S44" s="33"/>
      <c r="T44" s="33"/>
      <c r="U44" s="33"/>
    </row>
    <row r="45" spans="2:21" ht="15" customHeight="1" x14ac:dyDescent="0.25">
      <c r="B45" s="32"/>
      <c r="C45" s="32"/>
      <c r="D45" s="32"/>
      <c r="E45" s="32"/>
      <c r="F45" s="32"/>
      <c r="G45" s="32"/>
      <c r="H45" s="24"/>
      <c r="I45" s="33"/>
      <c r="J45" s="33"/>
      <c r="K45" s="33"/>
      <c r="L45" s="33"/>
      <c r="M45" s="33"/>
      <c r="N45" s="33"/>
      <c r="O45" s="24"/>
      <c r="P45" s="33"/>
      <c r="Q45" s="33"/>
      <c r="R45" s="33"/>
      <c r="S45" s="33"/>
      <c r="T45" s="33"/>
      <c r="U45" s="33"/>
    </row>
    <row r="46" spans="2:21" ht="15" customHeight="1" x14ac:dyDescent="0.25">
      <c r="B46" s="32"/>
      <c r="C46" s="32"/>
      <c r="D46" s="32"/>
      <c r="E46" s="32"/>
      <c r="F46" s="32"/>
      <c r="G46" s="32"/>
      <c r="H46" s="24"/>
      <c r="I46" s="33"/>
      <c r="J46" s="33"/>
      <c r="K46" s="33"/>
      <c r="L46" s="33"/>
      <c r="M46" s="33"/>
      <c r="N46" s="33"/>
      <c r="O46" s="24"/>
      <c r="P46" s="33"/>
      <c r="Q46" s="33"/>
      <c r="R46" s="33"/>
      <c r="S46" s="33"/>
      <c r="T46" s="33"/>
      <c r="U46" s="33"/>
    </row>
    <row r="47" spans="2:21" ht="15" customHeight="1" x14ac:dyDescent="0.25">
      <c r="B47" s="32"/>
      <c r="C47" s="32"/>
      <c r="D47" s="32"/>
      <c r="E47" s="32"/>
      <c r="F47" s="32"/>
      <c r="G47" s="32"/>
      <c r="H47" s="24"/>
      <c r="I47" s="33"/>
      <c r="J47" s="33"/>
      <c r="K47" s="33"/>
      <c r="L47" s="33"/>
      <c r="M47" s="33"/>
      <c r="N47" s="33"/>
      <c r="O47" s="24"/>
      <c r="P47" s="33"/>
      <c r="Q47" s="33"/>
      <c r="R47" s="33"/>
      <c r="S47" s="33"/>
      <c r="T47" s="33"/>
      <c r="U47" s="33"/>
    </row>
    <row r="48" spans="2:21" ht="15" customHeight="1" x14ac:dyDescent="0.25">
      <c r="B48" s="32"/>
      <c r="C48" s="32"/>
      <c r="D48" s="32"/>
      <c r="E48" s="32"/>
      <c r="F48" s="32"/>
      <c r="G48" s="32"/>
      <c r="H48" s="24"/>
      <c r="I48" s="33"/>
      <c r="J48" s="33"/>
      <c r="K48" s="33"/>
      <c r="L48" s="33"/>
      <c r="M48" s="33"/>
      <c r="N48" s="33"/>
      <c r="O48" s="24"/>
      <c r="P48" s="33"/>
      <c r="Q48" s="33"/>
      <c r="R48" s="33"/>
      <c r="S48" s="33"/>
      <c r="T48" s="33"/>
      <c r="U48" s="33"/>
    </row>
    <row r="49" spans="2:21" ht="15" customHeight="1" x14ac:dyDescent="0.25">
      <c r="B49" s="32"/>
      <c r="C49" s="32"/>
      <c r="D49" s="32"/>
      <c r="E49" s="32"/>
      <c r="F49" s="32"/>
      <c r="G49" s="32"/>
      <c r="H49" s="24"/>
      <c r="I49" s="33"/>
      <c r="J49" s="33"/>
      <c r="K49" s="33"/>
      <c r="L49" s="33"/>
      <c r="M49" s="33"/>
      <c r="N49" s="33"/>
      <c r="O49" s="24"/>
      <c r="P49" s="33"/>
      <c r="Q49" s="33"/>
      <c r="R49" s="33"/>
      <c r="S49" s="33"/>
      <c r="T49" s="33"/>
      <c r="U49" s="33"/>
    </row>
    <row r="50" spans="2:21" ht="15" customHeight="1" x14ac:dyDescent="0.25">
      <c r="B50" s="32"/>
      <c r="C50" s="32"/>
      <c r="D50" s="32"/>
      <c r="E50" s="32"/>
      <c r="F50" s="32"/>
      <c r="G50" s="32"/>
      <c r="H50" s="24"/>
      <c r="I50" s="33"/>
      <c r="J50" s="33"/>
      <c r="K50" s="33"/>
      <c r="L50" s="33"/>
      <c r="M50" s="33"/>
      <c r="N50" s="33"/>
      <c r="O50" s="24"/>
      <c r="P50" s="33"/>
      <c r="Q50" s="33"/>
      <c r="R50" s="33"/>
      <c r="S50" s="33"/>
      <c r="T50" s="33"/>
      <c r="U50" s="33"/>
    </row>
    <row r="51" spans="2:21" ht="15" customHeight="1" x14ac:dyDescent="0.25">
      <c r="B51" s="32"/>
      <c r="C51" s="32"/>
      <c r="D51" s="32"/>
      <c r="E51" s="32"/>
      <c r="F51" s="32"/>
      <c r="G51" s="32"/>
      <c r="H51" s="24"/>
      <c r="I51" s="33"/>
      <c r="J51" s="33"/>
      <c r="K51" s="33"/>
      <c r="L51" s="33"/>
      <c r="M51" s="33"/>
      <c r="N51" s="33"/>
      <c r="O51" s="24"/>
      <c r="P51" s="33"/>
      <c r="Q51" s="33"/>
      <c r="R51" s="33"/>
      <c r="S51" s="33"/>
      <c r="T51" s="33"/>
      <c r="U51" s="33"/>
    </row>
    <row r="52" spans="2:21" ht="15" customHeight="1" x14ac:dyDescent="0.25">
      <c r="B52" s="32"/>
      <c r="C52" s="32"/>
      <c r="D52" s="32"/>
      <c r="E52" s="32"/>
      <c r="F52" s="32"/>
      <c r="G52" s="32"/>
      <c r="H52" s="24"/>
      <c r="I52" s="33"/>
      <c r="J52" s="33"/>
      <c r="K52" s="33"/>
      <c r="L52" s="33"/>
      <c r="M52" s="33"/>
      <c r="N52" s="33"/>
      <c r="O52" s="24"/>
      <c r="P52" s="33"/>
      <c r="Q52" s="33"/>
      <c r="R52" s="33"/>
      <c r="S52" s="33"/>
      <c r="T52" s="33"/>
      <c r="U52" s="33"/>
    </row>
    <row r="53" spans="2:21" ht="15" customHeight="1" x14ac:dyDescent="0.25">
      <c r="B53" s="34" t="s">
        <v>354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2:21" x14ac:dyDescent="0.25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</row>
  </sheetData>
  <mergeCells count="16">
    <mergeCell ref="B53:U54"/>
    <mergeCell ref="A1:U2"/>
    <mergeCell ref="B33:U35"/>
    <mergeCell ref="B36:G52"/>
    <mergeCell ref="I36:N52"/>
    <mergeCell ref="P36:U52"/>
    <mergeCell ref="C5:F7"/>
    <mergeCell ref="C8:F8"/>
    <mergeCell ref="C9:F11"/>
    <mergeCell ref="J5:M7"/>
    <mergeCell ref="J8:M8"/>
    <mergeCell ref="J9:M11"/>
    <mergeCell ref="Q5:T7"/>
    <mergeCell ref="Q8:T8"/>
    <mergeCell ref="Q9:T10"/>
    <mergeCell ref="Q11:T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8A0A5-3FFD-4FF3-96AD-E449681F6766}">
  <dimension ref="A1:K11"/>
  <sheetViews>
    <sheetView workbookViewId="0">
      <selection activeCell="H5" sqref="H5:K11"/>
    </sheetView>
  </sheetViews>
  <sheetFormatPr defaultRowHeight="15" x14ac:dyDescent="0.25"/>
  <cols>
    <col min="1" max="1" width="19.5703125" bestFit="1" customWidth="1"/>
    <col min="2" max="2" width="25.5703125" bestFit="1" customWidth="1"/>
  </cols>
  <sheetData>
    <row r="1" spans="1:11" x14ac:dyDescent="0.25">
      <c r="A1" s="12" t="s">
        <v>331</v>
      </c>
      <c r="B1" t="s">
        <v>333</v>
      </c>
    </row>
    <row r="2" spans="1:11" x14ac:dyDescent="0.25">
      <c r="A2" s="13" t="s">
        <v>206</v>
      </c>
      <c r="B2">
        <v>2596480.5599999996</v>
      </c>
    </row>
    <row r="3" spans="1:11" x14ac:dyDescent="0.25">
      <c r="A3" s="13" t="s">
        <v>163</v>
      </c>
      <c r="B3">
        <v>1993648.16</v>
      </c>
    </row>
    <row r="4" spans="1:11" x14ac:dyDescent="0.25">
      <c r="A4" s="13" t="s">
        <v>223</v>
      </c>
      <c r="B4">
        <v>1982631.79</v>
      </c>
    </row>
    <row r="5" spans="1:11" ht="15" customHeight="1" x14ac:dyDescent="0.25">
      <c r="A5" s="13" t="s">
        <v>269</v>
      </c>
      <c r="B5">
        <v>1318443.27</v>
      </c>
      <c r="H5" s="21" t="s">
        <v>346</v>
      </c>
      <c r="I5" s="21"/>
      <c r="J5" s="21"/>
      <c r="K5" s="21"/>
    </row>
    <row r="6" spans="1:11" x14ac:dyDescent="0.25">
      <c r="A6" s="13" t="s">
        <v>140</v>
      </c>
      <c r="B6">
        <v>1099882.18</v>
      </c>
      <c r="H6" s="21"/>
      <c r="I6" s="21"/>
      <c r="J6" s="21"/>
      <c r="K6" s="21"/>
    </row>
    <row r="7" spans="1:11" x14ac:dyDescent="0.25">
      <c r="A7" s="13" t="s">
        <v>332</v>
      </c>
      <c r="B7">
        <v>8991085.959999999</v>
      </c>
      <c r="H7" s="21"/>
      <c r="I7" s="21"/>
      <c r="J7" s="21"/>
      <c r="K7" s="21"/>
    </row>
    <row r="8" spans="1:11" x14ac:dyDescent="0.25">
      <c r="H8" s="22" t="s">
        <v>347</v>
      </c>
      <c r="I8" s="22"/>
      <c r="J8" s="22"/>
      <c r="K8" s="22"/>
    </row>
    <row r="9" spans="1:11" x14ac:dyDescent="0.25">
      <c r="H9" s="23" t="s">
        <v>348</v>
      </c>
      <c r="I9" s="23"/>
      <c r="J9" s="23"/>
      <c r="K9" s="23"/>
    </row>
    <row r="10" spans="1:11" x14ac:dyDescent="0.25">
      <c r="H10" s="23"/>
      <c r="I10" s="23"/>
      <c r="J10" s="23"/>
      <c r="K10" s="23"/>
    </row>
    <row r="11" spans="1:11" x14ac:dyDescent="0.25">
      <c r="H11" s="23"/>
      <c r="I11" s="23"/>
      <c r="J11" s="23"/>
      <c r="K11" s="23"/>
    </row>
  </sheetData>
  <mergeCells count="3">
    <mergeCell ref="H5:K7"/>
    <mergeCell ref="H8:K8"/>
    <mergeCell ref="H9:K11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64460-A752-4855-B961-7C4B175D0A26}">
  <dimension ref="A1:I10"/>
  <sheetViews>
    <sheetView workbookViewId="0">
      <selection activeCell="F4" sqref="F4:I10"/>
    </sheetView>
  </sheetViews>
  <sheetFormatPr defaultRowHeight="15" x14ac:dyDescent="0.25"/>
  <cols>
    <col min="1" max="1" width="30.7109375" bestFit="1" customWidth="1"/>
    <col min="2" max="2" width="27.28515625" bestFit="1" customWidth="1"/>
  </cols>
  <sheetData>
    <row r="1" spans="1:9" x14ac:dyDescent="0.25">
      <c r="A1" s="12" t="s">
        <v>331</v>
      </c>
      <c r="B1" t="s">
        <v>334</v>
      </c>
    </row>
    <row r="2" spans="1:9" x14ac:dyDescent="0.25">
      <c r="A2" s="13" t="s">
        <v>228</v>
      </c>
      <c r="B2">
        <v>5.0291029250000001</v>
      </c>
    </row>
    <row r="3" spans="1:9" x14ac:dyDescent="0.25">
      <c r="A3" s="13" t="s">
        <v>121</v>
      </c>
      <c r="B3">
        <v>4.6858550999999995</v>
      </c>
    </row>
    <row r="4" spans="1:9" x14ac:dyDescent="0.25">
      <c r="A4" s="13" t="s">
        <v>55</v>
      </c>
      <c r="B4">
        <v>3.7495050449999994</v>
      </c>
      <c r="F4" s="21" t="s">
        <v>350</v>
      </c>
      <c r="G4" s="21"/>
      <c r="H4" s="21"/>
      <c r="I4" s="21"/>
    </row>
    <row r="5" spans="1:9" x14ac:dyDescent="0.25">
      <c r="A5" s="13" t="s">
        <v>173</v>
      </c>
      <c r="B5">
        <v>3.3451382299999999</v>
      </c>
      <c r="F5" s="21"/>
      <c r="G5" s="21"/>
      <c r="H5" s="21"/>
      <c r="I5" s="21"/>
    </row>
    <row r="6" spans="1:9" x14ac:dyDescent="0.25">
      <c r="A6" s="13" t="s">
        <v>229</v>
      </c>
      <c r="B6">
        <v>3.2964413100000005</v>
      </c>
      <c r="F6" s="21"/>
      <c r="G6" s="21"/>
      <c r="H6" s="21"/>
      <c r="I6" s="21"/>
    </row>
    <row r="7" spans="1:9" x14ac:dyDescent="0.25">
      <c r="A7" s="13" t="s">
        <v>332</v>
      </c>
      <c r="B7">
        <v>20.106042609999996</v>
      </c>
      <c r="F7" s="22" t="s">
        <v>347</v>
      </c>
      <c r="G7" s="22"/>
      <c r="H7" s="22"/>
      <c r="I7" s="22"/>
    </row>
    <row r="8" spans="1:9" x14ac:dyDescent="0.25">
      <c r="F8" s="23" t="s">
        <v>349</v>
      </c>
      <c r="G8" s="23"/>
      <c r="H8" s="23"/>
      <c r="I8" s="23"/>
    </row>
    <row r="9" spans="1:9" x14ac:dyDescent="0.25">
      <c r="F9" s="23"/>
      <c r="G9" s="23"/>
      <c r="H9" s="23"/>
      <c r="I9" s="23"/>
    </row>
    <row r="10" spans="1:9" x14ac:dyDescent="0.25">
      <c r="F10" s="23"/>
      <c r="G10" s="23"/>
      <c r="H10" s="23"/>
      <c r="I10" s="23"/>
    </row>
  </sheetData>
  <mergeCells count="3">
    <mergeCell ref="F4:I6"/>
    <mergeCell ref="F7:I7"/>
    <mergeCell ref="F8:I10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D721-FCBD-4FFB-AE77-C520A12AC82C}">
  <dimension ref="A1:J11"/>
  <sheetViews>
    <sheetView workbookViewId="0">
      <selection activeCell="G5" sqref="G5:J12"/>
    </sheetView>
  </sheetViews>
  <sheetFormatPr defaultRowHeight="15" x14ac:dyDescent="0.25"/>
  <cols>
    <col min="1" max="1" width="22.7109375" bestFit="1" customWidth="1"/>
    <col min="2" max="2" width="25.85546875" bestFit="1" customWidth="1"/>
  </cols>
  <sheetData>
    <row r="1" spans="1:10" x14ac:dyDescent="0.25">
      <c r="A1" s="12" t="s">
        <v>331</v>
      </c>
      <c r="B1" t="s">
        <v>335</v>
      </c>
    </row>
    <row r="2" spans="1:10" x14ac:dyDescent="0.25">
      <c r="A2" s="13" t="s">
        <v>121</v>
      </c>
      <c r="B2" s="14">
        <v>-0.79215006173612945</v>
      </c>
    </row>
    <row r="3" spans="1:10" x14ac:dyDescent="0.25">
      <c r="A3" s="13" t="s">
        <v>103</v>
      </c>
      <c r="B3" s="14">
        <v>-0.48297090240600954</v>
      </c>
    </row>
    <row r="4" spans="1:10" x14ac:dyDescent="0.25">
      <c r="A4" s="13" t="s">
        <v>269</v>
      </c>
      <c r="B4" s="14">
        <v>-0.4140832544440684</v>
      </c>
    </row>
    <row r="5" spans="1:10" x14ac:dyDescent="0.25">
      <c r="A5" s="13" t="s">
        <v>140</v>
      </c>
      <c r="B5" s="14">
        <v>-0.37990425845035247</v>
      </c>
      <c r="G5" s="29">
        <v>-0.79</v>
      </c>
      <c r="H5" s="21"/>
      <c r="I5" s="21"/>
      <c r="J5" s="21"/>
    </row>
    <row r="6" spans="1:10" x14ac:dyDescent="0.25">
      <c r="A6" s="13" t="s">
        <v>114</v>
      </c>
      <c r="B6" s="14">
        <v>-0.16567750379395754</v>
      </c>
      <c r="G6" s="21"/>
      <c r="H6" s="21"/>
      <c r="I6" s="21"/>
      <c r="J6" s="21"/>
    </row>
    <row r="7" spans="1:10" x14ac:dyDescent="0.25">
      <c r="A7" s="13" t="s">
        <v>332</v>
      </c>
      <c r="B7">
        <v>-2.2347859808305173</v>
      </c>
      <c r="G7" s="21"/>
      <c r="H7" s="21"/>
      <c r="I7" s="21"/>
      <c r="J7" s="21"/>
    </row>
    <row r="8" spans="1:10" x14ac:dyDescent="0.25">
      <c r="G8" s="22" t="s">
        <v>347</v>
      </c>
      <c r="H8" s="22"/>
      <c r="I8" s="22"/>
      <c r="J8" s="22"/>
    </row>
    <row r="9" spans="1:10" ht="15" customHeight="1" x14ac:dyDescent="0.25">
      <c r="G9" s="23" t="s">
        <v>351</v>
      </c>
      <c r="H9" s="23"/>
      <c r="I9" s="23"/>
      <c r="J9" s="23"/>
    </row>
    <row r="10" spans="1:10" ht="15" customHeight="1" x14ac:dyDescent="0.25">
      <c r="G10" s="23"/>
      <c r="H10" s="23"/>
      <c r="I10" s="23"/>
      <c r="J10" s="23"/>
    </row>
    <row r="11" spans="1:10" ht="15" customHeight="1" x14ac:dyDescent="0.25">
      <c r="G11" s="30" t="s">
        <v>352</v>
      </c>
      <c r="H11" s="23"/>
      <c r="I11" s="23"/>
      <c r="J11" s="23"/>
    </row>
  </sheetData>
  <mergeCells count="4">
    <mergeCell ref="G5:J7"/>
    <mergeCell ref="G8:J8"/>
    <mergeCell ref="G11:J11"/>
    <mergeCell ref="G9:J10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ABOUT</vt:lpstr>
      <vt:lpstr>ORIGINAL DATA</vt:lpstr>
      <vt:lpstr>Price (WEB SCRAPPING)</vt:lpstr>
      <vt:lpstr>Data</vt:lpstr>
      <vt:lpstr>Analysis RAW</vt:lpstr>
      <vt:lpstr>Analysis</vt:lpstr>
      <vt:lpstr>Dashboard</vt:lpstr>
      <vt:lpstr>Top 5 Species by Catch</vt:lpstr>
      <vt:lpstr>Top 5 by Revenue</vt:lpstr>
      <vt:lpstr>Declining Species</vt:lpstr>
      <vt:lpstr>Species</vt:lpstr>
      <vt:lpstr>Total_Catch_tonnes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2026-05-22T03:22:14Z</dcterms:created>
  <dcterms:modified xsi:type="dcterms:W3CDTF">2026-05-25T06:03:00Z</dcterms:modified>
</cp:coreProperties>
</file>